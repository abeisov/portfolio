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arbeisov/Desktop/Статистика (продвинутый уровень)/CRM5/"/>
    </mc:Choice>
  </mc:AlternateContent>
  <xr:revisionPtr revIDLastSave="0" documentId="13_ncr:1_{E038888A-BC51-684F-ACF0-C88522B19E54}" xr6:coauthVersionLast="47" xr6:coauthVersionMax="47" xr10:uidLastSave="{00000000-0000-0000-0000-000000000000}"/>
  <bookViews>
    <workbookView xWindow="220" yWindow="500" windowWidth="24560" windowHeight="14340" xr2:uid="{0762D452-CFC7-3C43-B70A-E7C29BA94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4" i="1"/>
  <c r="P12" i="1"/>
  <c r="P11" i="1"/>
  <c r="P10" i="1"/>
  <c r="P8" i="1"/>
  <c r="P7" i="1"/>
  <c r="P6" i="1"/>
  <c r="P5" i="1"/>
  <c r="P4" i="1"/>
  <c r="P3" i="1"/>
  <c r="P2" i="1"/>
  <c r="P1" i="1"/>
  <c r="M11" i="1"/>
  <c r="M12" i="1"/>
  <c r="M13" i="1"/>
  <c r="M14" i="1"/>
  <c r="M15" i="1"/>
  <c r="M16" i="1"/>
  <c r="M17" i="1"/>
  <c r="M10" i="1"/>
  <c r="L12" i="1"/>
  <c r="L13" i="1" s="1"/>
  <c r="L14" i="1" s="1"/>
  <c r="L15" i="1" s="1"/>
  <c r="L16" i="1" s="1"/>
  <c r="L17" i="1" s="1"/>
  <c r="L11" i="1"/>
  <c r="L10" i="1"/>
  <c r="K11" i="1"/>
  <c r="K12" i="1"/>
  <c r="K13" i="1"/>
  <c r="K14" i="1"/>
  <c r="K15" i="1"/>
  <c r="K16" i="1"/>
  <c r="K17" i="1"/>
  <c r="K18" i="1"/>
  <c r="K10" i="1"/>
  <c r="I11" i="1"/>
  <c r="I12" i="1"/>
  <c r="I13" i="1"/>
  <c r="I14" i="1"/>
  <c r="I15" i="1"/>
  <c r="I16" i="1"/>
  <c r="I17" i="1"/>
  <c r="J10" i="1" a="1"/>
  <c r="J10" i="1" s="1"/>
  <c r="G12" i="1"/>
  <c r="H12" i="1"/>
  <c r="G13" i="1"/>
  <c r="H13" i="1" s="1"/>
  <c r="G14" i="1" s="1"/>
  <c r="H14" i="1" s="1"/>
  <c r="G15" i="1" s="1"/>
  <c r="H15" i="1" s="1"/>
  <c r="G16" i="1" s="1"/>
  <c r="H16" i="1" s="1"/>
  <c r="G17" i="1" s="1"/>
  <c r="H17" i="1" s="1"/>
  <c r="H11" i="1"/>
  <c r="G11" i="1"/>
  <c r="I10" i="1"/>
  <c r="H10" i="1"/>
  <c r="G10" i="1"/>
  <c r="E6" i="1"/>
  <c r="E4" i="1"/>
  <c r="E5" i="1"/>
  <c r="E3" i="1"/>
  <c r="E2" i="1"/>
  <c r="E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<sst xmlns="http://schemas.openxmlformats.org/spreadsheetml/2006/main" count="27" uniqueCount="27">
  <si>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Size</t>
  </si>
  <si>
    <t>Minimum</t>
  </si>
  <si>
    <t>Maximum</t>
  </si>
  <si>
    <t>Intervals</t>
  </si>
  <si>
    <t>Range</t>
  </si>
  <si>
    <t>Interval Width</t>
  </si>
  <si>
    <t>Rounded Width</t>
  </si>
  <si>
    <t>Lower Bound</t>
  </si>
  <si>
    <t>Upper Bound</t>
  </si>
  <si>
    <t>Midpoint</t>
  </si>
  <si>
    <t>Frequency</t>
  </si>
  <si>
    <t>Relative Frequency</t>
  </si>
  <si>
    <t>Cumulative Frequency</t>
  </si>
  <si>
    <t>Empirical Function F*(x)</t>
  </si>
  <si>
    <t>Mean</t>
  </si>
  <si>
    <t>Mode</t>
  </si>
  <si>
    <t>Median</t>
  </si>
  <si>
    <t>Variance</t>
  </si>
  <si>
    <t>Std Deviation</t>
  </si>
  <si>
    <t>Variation</t>
  </si>
  <si>
    <t>Skewness</t>
  </si>
  <si>
    <t>Kurtosis</t>
  </si>
  <si>
    <t>Margin of Error</t>
  </si>
  <si>
    <t>Confidence Interval Lower Limit</t>
  </si>
  <si>
    <t>Confidence Interval Upper Limit</t>
  </si>
  <si>
    <t>Lower Bound(std)</t>
  </si>
  <si>
    <t>Upper Bound(std)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</si>
</sst>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Frequency Histogram</a:t>
            </a:r>
            <a:endParaRPr lang="en-US"/>
          </a:p>
        </c:rich>
      </c:tx>
      <c:layout>
        <c:manualLayout>
          <c:xMode val="edge"/>
          <c:yMode val="edge"/>
          <c:x val="0.3813123359580051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Sheet1!$I$10:$I$17</c:f>
              <c:numCache>
                <c:formatCode>General</c:formatCode>
                <c:ptCount val="8"/>
                <c:pt idx="0">
                  <c:v>185.5</c:v>
                </c:pt>
                <c:pt idx="1">
                  <c:v>192.5</c:v>
                </c:pt>
                <c:pt idx="2">
                  <c:v>199.5</c:v>
                </c:pt>
                <c:pt idx="3">
                  <c:v>206.5</c:v>
                </c:pt>
                <c:pt idx="4">
                  <c:v>213.5</c:v>
                </c:pt>
                <c:pt idx="5">
                  <c:v>220.5</c:v>
                </c:pt>
                <c:pt idx="6">
                  <c:v>227.5</c:v>
                </c:pt>
                <c:pt idx="7">
                  <c:v>234.5</c:v>
                </c:pt>
              </c:numCache>
            </c:numRef>
          </c:cat>
          <c:val>
            <c:numRef>
              <c:f>Sheet1!$J$10:$J$17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18</c:v>
                </c:pt>
                <c:pt idx="4">
                  <c:v>17</c:v>
                </c:pt>
                <c:pt idx="5">
                  <c:v>10</c:v>
                </c:pt>
                <c:pt idx="6">
                  <c:v>11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C-8041-8FAA-DEDE2750D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718943"/>
        <c:axId val="568720655"/>
      </c:barChart>
      <c:catAx>
        <c:axId val="56871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568720655"/>
        <c:crosses val="autoZero"/>
        <c:auto val="1"/>
        <c:lblAlgn val="ctr"/>
        <c:lblOffset val="100"/>
        <c:noMultiLvlLbl val="0"/>
      </c:catAx>
      <c:valAx>
        <c:axId val="5687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56871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Cumulative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Sheet1!$I$10:$I$17</c:f>
              <c:numCache>
                <c:formatCode>General</c:formatCode>
                <c:ptCount val="8"/>
                <c:pt idx="0">
                  <c:v>185.5</c:v>
                </c:pt>
                <c:pt idx="1">
                  <c:v>192.5</c:v>
                </c:pt>
                <c:pt idx="2">
                  <c:v>199.5</c:v>
                </c:pt>
                <c:pt idx="3">
                  <c:v>206.5</c:v>
                </c:pt>
                <c:pt idx="4">
                  <c:v>213.5</c:v>
                </c:pt>
                <c:pt idx="5">
                  <c:v>220.5</c:v>
                </c:pt>
                <c:pt idx="6">
                  <c:v>227.5</c:v>
                </c:pt>
                <c:pt idx="7">
                  <c:v>234.5</c:v>
                </c:pt>
              </c:numCache>
            </c:numRef>
          </c:cat>
          <c:val>
            <c:numRef>
              <c:f>Sheet1!$L$10:$L$17</c:f>
              <c:numCache>
                <c:formatCode>General</c:formatCode>
                <c:ptCount val="8"/>
                <c:pt idx="0">
                  <c:v>10</c:v>
                </c:pt>
                <c:pt idx="1">
                  <c:v>22</c:v>
                </c:pt>
                <c:pt idx="2">
                  <c:v>36</c:v>
                </c:pt>
                <c:pt idx="3">
                  <c:v>54</c:v>
                </c:pt>
                <c:pt idx="4">
                  <c:v>71</c:v>
                </c:pt>
                <c:pt idx="5">
                  <c:v>81</c:v>
                </c:pt>
                <c:pt idx="6">
                  <c:v>92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A-1E44-B3D6-897449659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342112"/>
        <c:axId val="452343840"/>
      </c:lineChart>
      <c:catAx>
        <c:axId val="4523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452343840"/>
        <c:crosses val="autoZero"/>
        <c:auto val="1"/>
        <c:lblAlgn val="ctr"/>
        <c:lblOffset val="100"/>
        <c:noMultiLvlLbl val="0"/>
      </c:catAx>
      <c:valAx>
        <c:axId val="45234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45234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Empirical Distribution Function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Sheet1!$I$10:$I$17</c:f>
              <c:numCache>
                <c:formatCode>General</c:formatCode>
                <c:ptCount val="8"/>
                <c:pt idx="0">
                  <c:v>185.5</c:v>
                </c:pt>
                <c:pt idx="1">
                  <c:v>192.5</c:v>
                </c:pt>
                <c:pt idx="2">
                  <c:v>199.5</c:v>
                </c:pt>
                <c:pt idx="3">
                  <c:v>206.5</c:v>
                </c:pt>
                <c:pt idx="4">
                  <c:v>213.5</c:v>
                </c:pt>
                <c:pt idx="5">
                  <c:v>220.5</c:v>
                </c:pt>
                <c:pt idx="6">
                  <c:v>227.5</c:v>
                </c:pt>
                <c:pt idx="7">
                  <c:v>234.5</c:v>
                </c:pt>
              </c:numCache>
            </c:numRef>
          </c:cat>
          <c:val>
            <c:numRef>
              <c:f>Sheet1!$M$10:$M$17</c:f>
              <c:numCache>
                <c:formatCode>General</c:formatCode>
                <c:ptCount val="8"/>
                <c:pt idx="0">
                  <c:v>0.1</c:v>
                </c:pt>
                <c:pt idx="1">
                  <c:v>0.22</c:v>
                </c:pt>
                <c:pt idx="2">
                  <c:v>0.36</c:v>
                </c:pt>
                <c:pt idx="3">
                  <c:v>0.54</c:v>
                </c:pt>
                <c:pt idx="4">
                  <c:v>0.71</c:v>
                </c:pt>
                <c:pt idx="5">
                  <c:v>0.81</c:v>
                </c:pt>
                <c:pt idx="6">
                  <c:v>0.92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0-964B-AD31-A7B61D964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775184"/>
        <c:axId val="721776896"/>
      </c:lineChart>
      <c:catAx>
        <c:axId val="7217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721776896"/>
        <c:crosses val="autoZero"/>
        <c:auto val="1"/>
        <c:lblAlgn val="ctr"/>
        <c:lblOffset val="100"/>
        <c:noMultiLvlLbl val="0"/>
      </c:catAx>
      <c:valAx>
        <c:axId val="7217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72177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165100</xdr:colOff>
      <xdr:row>22</xdr:row>
      <xdr:rowOff>82550</xdr:rowOff>
    </xdr:from>
    <xdr:to>
      <xdr:col>11</xdr:col>
      <xdr:colOff>800100</xdr:colOff>
      <xdr:row>35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0C974-B2AB-82CA-FA74-AB6CF27CA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1022350</xdr:colOff>
      <xdr:row>22</xdr:row>
      <xdr:rowOff>57150</xdr:rowOff>
    </xdr:from>
    <xdr:to>
      <xdr:col>14</xdr:col>
      <xdr:colOff>1352550</xdr:colOff>
      <xdr:row>35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8CB70-BB13-7D89-3B7A-80E698C8D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158750</xdr:colOff>
      <xdr:row>22</xdr:row>
      <xdr:rowOff>69850</xdr:rowOff>
    </xdr:from>
    <xdr:to>
      <xdr:col>20</xdr:col>
      <xdr:colOff>603250</xdr:colOff>
      <xdr:row>35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6DAC4-A637-55B8-57FE-0904404D7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5D02-4FD9-8F42-A92F-E7FDC8DC25BB}">
  <dimension ref="C1:P102"/>
  <sheetViews>
    <sheetView tabSelected="1" topLeftCell="E13" workbookViewId="0">
      <selection activeCell="M3" sqref="M3"/>
    </sheetView>
  </sheetViews>
  <sheetFormatPr baseColWidth="10" defaultRowHeight="16" x14ac:dyDescent="0.2"/>
  <cols>
    <col min="6" max="6" width="13.1640625" customWidth="1"/>
    <col min="11" max="11" width="19.1640625" customWidth="1"/>
    <col min="12" max="12" width="18.6640625" customWidth="1"/>
    <col min="13" max="13" width="20.5" customWidth="1"/>
    <col min="14" max="14" width="16.5" customWidth="1"/>
    <col min="15" max="15" width="18" customWidth="1"/>
  </cols>
  <sheetData>
    <row r="1" spans="3:16" x14ac:dyDescent="0.2">
      <c r="E1" s="2">
        <f>COUNT(C3:C102)</f>
        <v>100</v>
      </c>
      <c r="F1" s="1" t="s">
        <v>0</v>
      </c>
      <c r="O1" s="1" t="s">
        <v>14</v>
      </c>
      <c r="P1" s="3">
        <f>AVERAGE(C3:C102)</f>
        <v>209.17</v>
      </c>
    </row>
    <row r="2" spans="3:16" x14ac:dyDescent="0.2">
      <c r="E2" s="3">
        <f>MIN(C3:C102)</f>
        <v>182</v>
      </c>
      <c r="F2" s="1" t="s">
        <v>1</v>
      </c>
      <c r="O2" s="1" t="s">
        <v>15</v>
      </c>
      <c r="P2" s="2">
        <f>_xlfn.MODE.SNGL(C3:C102)</f>
        <v>207</v>
      </c>
    </row>
    <row r="3" spans="3:16" x14ac:dyDescent="0.2">
      <c r="C3" s="4">
        <v>182</v>
      </c>
      <c r="E3" s="3">
        <f>MAX(C3:C102)</f>
        <v>236</v>
      </c>
      <c r="F3" s="1" t="s">
        <v>2</v>
      </c>
      <c r="O3" s="1" t="s">
        <v>16</v>
      </c>
      <c r="P3" s="3">
        <f>MEDIAN(C3:C102)</f>
        <v>208.5</v>
      </c>
    </row>
    <row r="4" spans="3:16" x14ac:dyDescent="0.2">
      <c r="C4" s="4">
        <v>182</v>
      </c>
      <c r="E4" s="2">
        <f>ROUNDUP(1 + 3.322 *LOG10(E1), 0)</f>
        <v>8</v>
      </c>
      <c r="F4" s="1" t="s">
        <v>3</v>
      </c>
      <c r="O4" s="1" t="s">
        <v>17</v>
      </c>
      <c r="P4" s="2">
        <f>_xlfn.VAR.S(C3:C102)</f>
        <v>207.43545454545452</v>
      </c>
    </row>
    <row r="5" spans="3:16" x14ac:dyDescent="0.2">
      <c r="C5" s="4">
        <v>183</v>
      </c>
      <c r="E5" s="3">
        <f>E3 - E2</f>
        <v>54</v>
      </c>
      <c r="F5" s="1" t="s">
        <v>4</v>
      </c>
      <c r="O5" s="1" t="s">
        <v>18</v>
      </c>
      <c r="P5" s="2">
        <f>_xlfn.STDEV.S(C3:C102)</f>
        <v>14.40261971120027</v>
      </c>
    </row>
    <row r="6" spans="3:16" x14ac:dyDescent="0.2">
      <c r="C6" s="4">
        <v>184</v>
      </c>
      <c r="E6" s="2">
        <f>E5/E4</f>
        <v>6.75</v>
      </c>
      <c r="F6" s="1" t="s">
        <v>5</v>
      </c>
      <c r="O6" s="1" t="s">
        <v>19</v>
      </c>
      <c r="P6" s="2">
        <f>P5/P1</f>
        <v>6.8856048722093374E-2</v>
      </c>
    </row>
    <row r="7" spans="3:16" x14ac:dyDescent="0.2">
      <c r="C7" s="4">
        <v>185</v>
      </c>
      <c r="E7" s="2">
        <v>7</v>
      </c>
      <c r="F7" s="1" t="s">
        <v>6</v>
      </c>
      <c r="O7" s="1" t="s">
        <v>20</v>
      </c>
      <c r="P7" s="2">
        <f>SKEW(C3:C102)</f>
        <v>-1.1526001908665016E-2</v>
      </c>
    </row>
    <row r="8" spans="3:16" x14ac:dyDescent="0.2">
      <c r="C8" s="4">
        <v>185</v>
      </c>
      <c r="O8" s="1" t="s">
        <v>21</v>
      </c>
      <c r="P8" s="2">
        <f>KURT(C3:C102)</f>
        <v>-0.86067168233281555</v>
      </c>
    </row>
    <row r="9" spans="3:16" x14ac:dyDescent="0.2">
      <c r="C9" s="4">
        <v>186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O9" s="1"/>
      <c r="P9" s="2"/>
    </row>
    <row r="10" spans="3:16" x14ac:dyDescent="0.2">
      <c r="C10" s="4">
        <v>187</v>
      </c>
      <c r="G10" s="3">
        <f>E2</f>
        <v>182</v>
      </c>
      <c r="H10" s="3">
        <f>G10+$E$7</f>
        <v>189</v>
      </c>
      <c r="I10" s="2">
        <f>(G10+H10)/2</f>
        <v>185.5</v>
      </c>
      <c r="J10" s="2" cm="1">
        <f t="array" ref="J10:J18">FREQUENCY(C3:C102, H10:H17)</f>
        <v>10</v>
      </c>
      <c r="K10" s="2">
        <f>J10/100</f>
        <v>0.1</v>
      </c>
      <c r="L10" s="2">
        <f>J10</f>
        <v>10</v>
      </c>
      <c r="M10" s="2">
        <f>L10/100</f>
        <v>0.1</v>
      </c>
      <c r="O10" s="1" t="s">
        <v>22</v>
      </c>
      <c r="P10" s="2">
        <f>_xlfn.CONFIDENCE.T(0.05, P5, 100)</f>
        <v>2.8577922178216237</v>
      </c>
    </row>
    <row r="11" spans="3:16" x14ac:dyDescent="0.2">
      <c r="C11" s="4">
        <v>189</v>
      </c>
      <c r="G11" s="3">
        <f>H10</f>
        <v>189</v>
      </c>
      <c r="H11" s="3">
        <f>G11 + $E$7</f>
        <v>196</v>
      </c>
      <c r="I11" s="2">
        <f t="shared" ref="I11:I17" si="0">(G11+H11)/2</f>
        <v>192.5</v>
      </c>
      <c r="J11" s="2">
        <v>12</v>
      </c>
      <c r="K11" s="2">
        <f t="shared" ref="K11:K18" si="1">J11/100</f>
        <v>0.12</v>
      </c>
      <c r="L11" s="2">
        <f>L10+J11</f>
        <v>22</v>
      </c>
      <c r="M11" s="2">
        <f t="shared" ref="M11:M17" si="2">L11/100</f>
        <v>0.22</v>
      </c>
      <c r="O11" s="1" t="s">
        <v>23</v>
      </c>
      <c r="P11" s="3">
        <f>P1 - P10</f>
        <v>206.31220778217838</v>
      </c>
    </row>
    <row r="12" spans="3:16" x14ac:dyDescent="0.2">
      <c r="C12" s="4">
        <v>189</v>
      </c>
      <c r="G12" s="3">
        <f t="shared" ref="G12:G17" si="3">H11</f>
        <v>196</v>
      </c>
      <c r="H12" s="3">
        <f t="shared" ref="H12:H17" si="4">G12 + $E$7</f>
        <v>203</v>
      </c>
      <c r="I12" s="2">
        <f t="shared" si="0"/>
        <v>199.5</v>
      </c>
      <c r="J12" s="2">
        <v>14</v>
      </c>
      <c r="K12" s="2">
        <f t="shared" si="1"/>
        <v>0.14000000000000001</v>
      </c>
      <c r="L12" s="2">
        <f t="shared" ref="L12:L17" si="5">L11+J12</f>
        <v>36</v>
      </c>
      <c r="M12" s="2">
        <f t="shared" si="2"/>
        <v>0.36</v>
      </c>
      <c r="O12" s="1" t="s">
        <v>24</v>
      </c>
      <c r="P12" s="3">
        <f>P1 + P10</f>
        <v>212.0277922178216</v>
      </c>
    </row>
    <row r="13" spans="3:16" x14ac:dyDescent="0.2">
      <c r="C13" s="4">
        <v>190</v>
      </c>
      <c r="G13" s="3">
        <f t="shared" si="3"/>
        <v>203</v>
      </c>
      <c r="H13" s="3">
        <f t="shared" si="4"/>
        <v>210</v>
      </c>
      <c r="I13" s="2">
        <f t="shared" si="0"/>
        <v>206.5</v>
      </c>
      <c r="J13" s="2">
        <v>18</v>
      </c>
      <c r="K13" s="2">
        <f t="shared" si="1"/>
        <v>0.18</v>
      </c>
      <c r="L13" s="2">
        <f t="shared" si="5"/>
        <v>54</v>
      </c>
      <c r="M13" s="2">
        <f t="shared" si="2"/>
        <v>0.54</v>
      </c>
      <c r="O13" s="1"/>
      <c r="P13" s="2"/>
    </row>
    <row r="14" spans="3:16" x14ac:dyDescent="0.2">
      <c r="C14" s="4">
        <v>190</v>
      </c>
      <c r="G14" s="3">
        <f t="shared" si="3"/>
        <v>210</v>
      </c>
      <c r="H14" s="3">
        <f t="shared" si="4"/>
        <v>217</v>
      </c>
      <c r="I14" s="2">
        <f t="shared" si="0"/>
        <v>213.5</v>
      </c>
      <c r="J14" s="2">
        <v>17</v>
      </c>
      <c r="K14" s="2">
        <f t="shared" si="1"/>
        <v>0.17</v>
      </c>
      <c r="L14" s="2">
        <f t="shared" si="5"/>
        <v>71</v>
      </c>
      <c r="M14" s="2">
        <f t="shared" si="2"/>
        <v>0.71</v>
      </c>
      <c r="O14" s="1" t="s">
        <v>25</v>
      </c>
      <c r="P14" s="2">
        <f>P5 * SQRT(99 / _xlfn.CHISQ.INV.RT(0.025, 99))</f>
        <v>12.645598698182555</v>
      </c>
    </row>
    <row r="15" spans="3:16" x14ac:dyDescent="0.2">
      <c r="C15" s="4">
        <v>191</v>
      </c>
      <c r="G15" s="3">
        <f t="shared" si="3"/>
        <v>217</v>
      </c>
      <c r="H15" s="3">
        <f t="shared" si="4"/>
        <v>224</v>
      </c>
      <c r="I15" s="2">
        <f t="shared" si="0"/>
        <v>220.5</v>
      </c>
      <c r="J15" s="2">
        <v>10</v>
      </c>
      <c r="K15" s="2">
        <f t="shared" si="1"/>
        <v>0.1</v>
      </c>
      <c r="L15" s="2">
        <f t="shared" si="5"/>
        <v>81</v>
      </c>
      <c r="M15" s="2">
        <f t="shared" si="2"/>
        <v>0.81</v>
      </c>
      <c r="O15" s="1" t="s">
        <v>26</v>
      </c>
      <c r="P15" s="2">
        <f>P5 * SQRT(99 / _xlfn.CHISQ.INV.RT(0.975, 99))</f>
        <v>16.731166929919915</v>
      </c>
    </row>
    <row r="16" spans="3:16" x14ac:dyDescent="0.2">
      <c r="C16" s="4">
        <v>191</v>
      </c>
      <c r="G16" s="3">
        <f t="shared" si="3"/>
        <v>224</v>
      </c>
      <c r="H16" s="3">
        <f t="shared" si="4"/>
        <v>231</v>
      </c>
      <c r="I16" s="2">
        <f t="shared" si="0"/>
        <v>227.5</v>
      </c>
      <c r="J16" s="2">
        <v>11</v>
      </c>
      <c r="K16" s="2">
        <f t="shared" si="1"/>
        <v>0.11</v>
      </c>
      <c r="L16" s="2">
        <f t="shared" si="5"/>
        <v>92</v>
      </c>
      <c r="M16" s="2">
        <f t="shared" si="2"/>
        <v>0.92</v>
      </c>
    </row>
    <row r="17" spans="3:13" x14ac:dyDescent="0.2">
      <c r="C17" s="4">
        <v>192</v>
      </c>
      <c r="G17" s="3">
        <f t="shared" si="3"/>
        <v>231</v>
      </c>
      <c r="H17" s="3">
        <f t="shared" si="4"/>
        <v>238</v>
      </c>
      <c r="I17" s="2">
        <f t="shared" si="0"/>
        <v>234.5</v>
      </c>
      <c r="J17" s="2">
        <v>8</v>
      </c>
      <c r="K17" s="2">
        <f t="shared" si="1"/>
        <v>0.08</v>
      </c>
      <c r="L17" s="2">
        <f t="shared" si="5"/>
        <v>100</v>
      </c>
      <c r="M17" s="2">
        <f t="shared" si="2"/>
        <v>1</v>
      </c>
    </row>
    <row r="18" spans="3:13" x14ac:dyDescent="0.2">
      <c r="C18" s="4">
        <v>193</v>
      </c>
      <c r="J18">
        <v>0</v>
      </c>
      <c r="K18">
        <f t="shared" si="1"/>
        <v>0</v>
      </c>
    </row>
    <row r="19" spans="3:13" x14ac:dyDescent="0.2">
      <c r="C19" s="4">
        <v>193</v>
      </c>
    </row>
    <row r="20" spans="3:13" x14ac:dyDescent="0.2">
      <c r="C20" s="4">
        <v>193</v>
      </c>
    </row>
    <row r="21" spans="3:13" x14ac:dyDescent="0.2">
      <c r="C21" s="4">
        <v>195</v>
      </c>
    </row>
    <row r="22" spans="3:13" x14ac:dyDescent="0.2">
      <c r="C22" s="4">
        <v>195</v>
      </c>
    </row>
    <row r="23" spans="3:13" x14ac:dyDescent="0.2">
      <c r="C23" s="4">
        <v>196</v>
      </c>
    </row>
    <row r="24" spans="3:13" x14ac:dyDescent="0.2">
      <c r="C24" s="4">
        <v>196</v>
      </c>
    </row>
    <row r="25" spans="3:13" x14ac:dyDescent="0.2">
      <c r="C25" s="4">
        <v>197</v>
      </c>
    </row>
    <row r="26" spans="3:13" x14ac:dyDescent="0.2">
      <c r="C26" s="4">
        <v>197</v>
      </c>
    </row>
    <row r="27" spans="3:13" x14ac:dyDescent="0.2">
      <c r="C27" s="4">
        <v>198</v>
      </c>
    </row>
    <row r="28" spans="3:13" x14ac:dyDescent="0.2">
      <c r="C28" s="4">
        <v>198</v>
      </c>
    </row>
    <row r="29" spans="3:13" x14ac:dyDescent="0.2">
      <c r="C29" s="4">
        <v>199</v>
      </c>
    </row>
    <row r="30" spans="3:13" x14ac:dyDescent="0.2">
      <c r="C30" s="4">
        <v>201</v>
      </c>
    </row>
    <row r="31" spans="3:13" x14ac:dyDescent="0.2">
      <c r="C31" s="4">
        <v>201</v>
      </c>
    </row>
    <row r="32" spans="3:13" x14ac:dyDescent="0.2">
      <c r="C32" s="4">
        <v>202</v>
      </c>
    </row>
    <row r="33" spans="3:3" x14ac:dyDescent="0.2">
      <c r="C33" s="4">
        <v>202</v>
      </c>
    </row>
    <row r="34" spans="3:3" x14ac:dyDescent="0.2">
      <c r="C34" s="4">
        <v>202</v>
      </c>
    </row>
    <row r="35" spans="3:3" x14ac:dyDescent="0.2">
      <c r="C35" s="4">
        <v>202</v>
      </c>
    </row>
    <row r="36" spans="3:3" x14ac:dyDescent="0.2">
      <c r="C36" s="4">
        <v>203</v>
      </c>
    </row>
    <row r="37" spans="3:3" x14ac:dyDescent="0.2">
      <c r="C37" s="4">
        <v>203</v>
      </c>
    </row>
    <row r="38" spans="3:3" x14ac:dyDescent="0.2">
      <c r="C38" s="4">
        <v>203</v>
      </c>
    </row>
    <row r="39" spans="3:3" x14ac:dyDescent="0.2">
      <c r="C39" s="4">
        <v>204</v>
      </c>
    </row>
    <row r="40" spans="3:3" x14ac:dyDescent="0.2">
      <c r="C40" s="4">
        <v>204</v>
      </c>
    </row>
    <row r="41" spans="3:3" x14ac:dyDescent="0.2">
      <c r="C41" s="4">
        <v>204</v>
      </c>
    </row>
    <row r="42" spans="3:3" x14ac:dyDescent="0.2">
      <c r="C42" s="4">
        <v>205</v>
      </c>
    </row>
    <row r="43" spans="3:3" x14ac:dyDescent="0.2">
      <c r="C43" s="4">
        <v>205</v>
      </c>
    </row>
    <row r="44" spans="3:3" x14ac:dyDescent="0.2">
      <c r="C44" s="4">
        <v>205</v>
      </c>
    </row>
    <row r="45" spans="3:3" x14ac:dyDescent="0.2">
      <c r="C45" s="4">
        <v>207</v>
      </c>
    </row>
    <row r="46" spans="3:3" x14ac:dyDescent="0.2">
      <c r="C46" s="4">
        <v>207</v>
      </c>
    </row>
    <row r="47" spans="3:3" x14ac:dyDescent="0.2">
      <c r="C47" s="4">
        <v>207</v>
      </c>
    </row>
    <row r="48" spans="3:3" x14ac:dyDescent="0.2">
      <c r="C48" s="4">
        <v>207</v>
      </c>
    </row>
    <row r="49" spans="3:3" x14ac:dyDescent="0.2">
      <c r="C49" s="4">
        <v>207</v>
      </c>
    </row>
    <row r="50" spans="3:3" x14ac:dyDescent="0.2">
      <c r="C50" s="4">
        <v>208</v>
      </c>
    </row>
    <row r="51" spans="3:3" x14ac:dyDescent="0.2">
      <c r="C51" s="4">
        <v>208</v>
      </c>
    </row>
    <row r="52" spans="3:3" x14ac:dyDescent="0.2">
      <c r="C52" s="4">
        <v>208</v>
      </c>
    </row>
    <row r="53" spans="3:3" x14ac:dyDescent="0.2">
      <c r="C53" s="4">
        <v>209</v>
      </c>
    </row>
    <row r="54" spans="3:3" x14ac:dyDescent="0.2">
      <c r="C54" s="4">
        <v>210</v>
      </c>
    </row>
    <row r="55" spans="3:3" x14ac:dyDescent="0.2">
      <c r="C55" s="4">
        <v>210</v>
      </c>
    </row>
    <row r="56" spans="3:3" x14ac:dyDescent="0.2">
      <c r="C56" s="4">
        <v>210</v>
      </c>
    </row>
    <row r="57" spans="3:3" x14ac:dyDescent="0.2">
      <c r="C57" s="4">
        <v>211</v>
      </c>
    </row>
    <row r="58" spans="3:3" x14ac:dyDescent="0.2">
      <c r="C58" s="4">
        <v>211</v>
      </c>
    </row>
    <row r="59" spans="3:3" x14ac:dyDescent="0.2">
      <c r="C59" s="4">
        <v>211</v>
      </c>
    </row>
    <row r="60" spans="3:3" x14ac:dyDescent="0.2">
      <c r="C60" s="4">
        <v>213</v>
      </c>
    </row>
    <row r="61" spans="3:3" x14ac:dyDescent="0.2">
      <c r="C61" s="4">
        <v>213</v>
      </c>
    </row>
    <row r="62" spans="3:3" x14ac:dyDescent="0.2">
      <c r="C62" s="4">
        <v>213</v>
      </c>
    </row>
    <row r="63" spans="3:3" x14ac:dyDescent="0.2">
      <c r="C63" s="4">
        <v>214</v>
      </c>
    </row>
    <row r="64" spans="3:3" x14ac:dyDescent="0.2">
      <c r="C64" s="4">
        <v>214</v>
      </c>
    </row>
    <row r="65" spans="3:3" x14ac:dyDescent="0.2">
      <c r="C65" s="4">
        <v>215</v>
      </c>
    </row>
    <row r="66" spans="3:3" x14ac:dyDescent="0.2">
      <c r="C66" s="4">
        <v>215</v>
      </c>
    </row>
    <row r="67" spans="3:3" x14ac:dyDescent="0.2">
      <c r="C67" s="4">
        <v>215</v>
      </c>
    </row>
    <row r="68" spans="3:3" x14ac:dyDescent="0.2">
      <c r="C68" s="4">
        <v>216</v>
      </c>
    </row>
    <row r="69" spans="3:3" x14ac:dyDescent="0.2">
      <c r="C69" s="4">
        <v>216</v>
      </c>
    </row>
    <row r="70" spans="3:3" x14ac:dyDescent="0.2">
      <c r="C70" s="4">
        <v>216</v>
      </c>
    </row>
    <row r="71" spans="3:3" x14ac:dyDescent="0.2">
      <c r="C71" s="4">
        <v>217</v>
      </c>
    </row>
    <row r="72" spans="3:3" x14ac:dyDescent="0.2">
      <c r="C72" s="4">
        <v>217</v>
      </c>
    </row>
    <row r="73" spans="3:3" x14ac:dyDescent="0.2">
      <c r="C73" s="4">
        <v>217</v>
      </c>
    </row>
    <row r="74" spans="3:3" x14ac:dyDescent="0.2">
      <c r="C74" s="4">
        <v>219</v>
      </c>
    </row>
    <row r="75" spans="3:3" x14ac:dyDescent="0.2">
      <c r="C75" s="4">
        <v>220</v>
      </c>
    </row>
    <row r="76" spans="3:3" x14ac:dyDescent="0.2">
      <c r="C76" s="4">
        <v>220</v>
      </c>
    </row>
    <row r="77" spans="3:3" x14ac:dyDescent="0.2">
      <c r="C77" s="4">
        <v>220</v>
      </c>
    </row>
    <row r="78" spans="3:3" x14ac:dyDescent="0.2">
      <c r="C78" s="4">
        <v>220</v>
      </c>
    </row>
    <row r="79" spans="3:3" x14ac:dyDescent="0.2">
      <c r="C79" s="4">
        <v>220</v>
      </c>
    </row>
    <row r="80" spans="3:3" x14ac:dyDescent="0.2">
      <c r="C80" s="4">
        <v>221</v>
      </c>
    </row>
    <row r="81" spans="3:3" x14ac:dyDescent="0.2">
      <c r="C81" s="4">
        <v>221</v>
      </c>
    </row>
    <row r="82" spans="3:3" x14ac:dyDescent="0.2">
      <c r="C82" s="4">
        <v>222</v>
      </c>
    </row>
    <row r="83" spans="3:3" x14ac:dyDescent="0.2">
      <c r="C83" s="4">
        <v>223</v>
      </c>
    </row>
    <row r="84" spans="3:3" x14ac:dyDescent="0.2">
      <c r="C84" s="4">
        <v>225</v>
      </c>
    </row>
    <row r="85" spans="3:3" x14ac:dyDescent="0.2">
      <c r="C85" s="4">
        <v>225</v>
      </c>
    </row>
    <row r="86" spans="3:3" x14ac:dyDescent="0.2">
      <c r="C86" s="4">
        <v>225</v>
      </c>
    </row>
    <row r="87" spans="3:3" x14ac:dyDescent="0.2">
      <c r="C87" s="4">
        <v>226</v>
      </c>
    </row>
    <row r="88" spans="3:3" x14ac:dyDescent="0.2">
      <c r="C88" s="4">
        <v>226</v>
      </c>
    </row>
    <row r="89" spans="3:3" x14ac:dyDescent="0.2">
      <c r="C89" s="4">
        <v>227</v>
      </c>
    </row>
    <row r="90" spans="3:3" x14ac:dyDescent="0.2">
      <c r="C90" s="4">
        <v>227</v>
      </c>
    </row>
    <row r="91" spans="3:3" x14ac:dyDescent="0.2">
      <c r="C91" s="4">
        <v>227</v>
      </c>
    </row>
    <row r="92" spans="3:3" x14ac:dyDescent="0.2">
      <c r="C92" s="4">
        <v>228</v>
      </c>
    </row>
    <row r="93" spans="3:3" x14ac:dyDescent="0.2">
      <c r="C93" s="4">
        <v>229</v>
      </c>
    </row>
    <row r="94" spans="3:3" x14ac:dyDescent="0.2">
      <c r="C94" s="4">
        <v>231</v>
      </c>
    </row>
    <row r="95" spans="3:3" x14ac:dyDescent="0.2">
      <c r="C95" s="4">
        <v>232</v>
      </c>
    </row>
    <row r="96" spans="3:3" x14ac:dyDescent="0.2">
      <c r="C96" s="4">
        <v>232</v>
      </c>
    </row>
    <row r="97" spans="3:3" x14ac:dyDescent="0.2">
      <c r="C97" s="4">
        <v>233</v>
      </c>
    </row>
    <row r="98" spans="3:3" x14ac:dyDescent="0.2">
      <c r="C98" s="4">
        <v>233</v>
      </c>
    </row>
    <row r="99" spans="3:3" x14ac:dyDescent="0.2">
      <c r="C99" s="4">
        <v>234</v>
      </c>
    </row>
    <row r="100" spans="3:3" x14ac:dyDescent="0.2">
      <c r="C100" s="4">
        <v>235</v>
      </c>
    </row>
    <row r="101" spans="3:3" x14ac:dyDescent="0.2">
      <c r="C101" s="4">
        <v>236</v>
      </c>
    </row>
    <row r="102" spans="3:3" x14ac:dyDescent="0.2">
      <c r="C102" s="4">
        <v>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Anuar Beissov</dc:creator>
  <cp:lastModifiedBy>Anuar Beissov</cp:lastModifiedBy>
  <dcterms:created xsi:type="dcterms:W3CDTF">2025-12-15T11:36:51Z</dcterms:created>
  <dcterms:modified xsi:type="dcterms:W3CDTF">2025-12-23T11:23:25Z</dcterms:modified>
</cp:coreProperties>
</file>