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65569D0-9AFB-46AB-9D48-70228AFE87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rge Cap" sheetId="1" r:id="rId1"/>
  </sheets>
  <definedNames>
    <definedName name="solver_adj" localSheetId="0" hidden="1">'Large Cap'!$U$2:$U$9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'Large Cap'!$U$10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'Large Cap'!$AD$2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Z2" i="1" l="1"/>
  <c r="W18" i="1"/>
  <c r="W42" i="1"/>
  <c r="W58" i="1"/>
  <c r="W81" i="1"/>
  <c r="W9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W22" i="1" s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W38" i="1" s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W54" i="1" s="1"/>
  <c r="X54" i="1" s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W101" i="1" s="1"/>
  <c r="K3" i="1"/>
  <c r="K4" i="1"/>
  <c r="K5" i="1"/>
  <c r="K6" i="1"/>
  <c r="K7" i="1"/>
  <c r="K8" i="1"/>
  <c r="K9" i="1"/>
  <c r="K10" i="1"/>
  <c r="W10" i="1" s="1"/>
  <c r="AA10" i="1" s="1"/>
  <c r="K11" i="1"/>
  <c r="K12" i="1"/>
  <c r="W12" i="1" s="1"/>
  <c r="AA12" i="1" s="1"/>
  <c r="K13" i="1"/>
  <c r="K14" i="1"/>
  <c r="W14" i="1" s="1"/>
  <c r="X14" i="1" s="1"/>
  <c r="K15" i="1"/>
  <c r="K16" i="1"/>
  <c r="K17" i="1"/>
  <c r="K18" i="1"/>
  <c r="K19" i="1"/>
  <c r="W19" i="1" s="1"/>
  <c r="K20" i="1"/>
  <c r="K21" i="1"/>
  <c r="K22" i="1"/>
  <c r="K23" i="1"/>
  <c r="K24" i="1"/>
  <c r="K25" i="1"/>
  <c r="W25" i="1" s="1"/>
  <c r="K26" i="1"/>
  <c r="K27" i="1"/>
  <c r="K28" i="1"/>
  <c r="K29" i="1"/>
  <c r="K30" i="1"/>
  <c r="W30" i="1" s="1"/>
  <c r="X30" i="1" s="1"/>
  <c r="K31" i="1"/>
  <c r="K32" i="1"/>
  <c r="K33" i="1"/>
  <c r="K34" i="1"/>
  <c r="W34" i="1" s="1"/>
  <c r="AA34" i="1" s="1"/>
  <c r="K35" i="1"/>
  <c r="K36" i="1"/>
  <c r="K37" i="1"/>
  <c r="K38" i="1"/>
  <c r="K39" i="1"/>
  <c r="K40" i="1"/>
  <c r="K41" i="1"/>
  <c r="K42" i="1"/>
  <c r="K43" i="1"/>
  <c r="K44" i="1"/>
  <c r="W44" i="1" s="1"/>
  <c r="K45" i="1"/>
  <c r="K46" i="1"/>
  <c r="W46" i="1" s="1"/>
  <c r="X46" i="1" s="1"/>
  <c r="K47" i="1"/>
  <c r="K48" i="1"/>
  <c r="K49" i="1"/>
  <c r="K50" i="1"/>
  <c r="W50" i="1" s="1"/>
  <c r="AA50" i="1" s="1"/>
  <c r="K51" i="1"/>
  <c r="K52" i="1"/>
  <c r="K53" i="1"/>
  <c r="K54" i="1"/>
  <c r="K55" i="1"/>
  <c r="K56" i="1"/>
  <c r="K57" i="1"/>
  <c r="K58" i="1"/>
  <c r="K59" i="1"/>
  <c r="K60" i="1"/>
  <c r="K61" i="1"/>
  <c r="K62" i="1"/>
  <c r="W62" i="1" s="1"/>
  <c r="X62" i="1" s="1"/>
  <c r="K63" i="1"/>
  <c r="K64" i="1"/>
  <c r="K65" i="1"/>
  <c r="K66" i="1"/>
  <c r="W66" i="1" s="1"/>
  <c r="K67" i="1"/>
  <c r="K68" i="1"/>
  <c r="K69" i="1"/>
  <c r="K70" i="1"/>
  <c r="W70" i="1" s="1"/>
  <c r="AA70" i="1" s="1"/>
  <c r="K71" i="1"/>
  <c r="K72" i="1"/>
  <c r="K73" i="1"/>
  <c r="K74" i="1"/>
  <c r="K75" i="1"/>
  <c r="K76" i="1"/>
  <c r="K77" i="1"/>
  <c r="K78" i="1"/>
  <c r="W78" i="1" s="1"/>
  <c r="X78" i="1" s="1"/>
  <c r="K79" i="1"/>
  <c r="K80" i="1"/>
  <c r="W80" i="1" s="1"/>
  <c r="K81" i="1"/>
  <c r="K82" i="1"/>
  <c r="W82" i="1" s="1"/>
  <c r="K83" i="1"/>
  <c r="K84" i="1"/>
  <c r="K85" i="1"/>
  <c r="K86" i="1"/>
  <c r="W86" i="1" s="1"/>
  <c r="K87" i="1"/>
  <c r="K88" i="1"/>
  <c r="K89" i="1"/>
  <c r="W89" i="1" s="1"/>
  <c r="AA89" i="1" s="1"/>
  <c r="K90" i="1"/>
  <c r="W90" i="1" s="1"/>
  <c r="AA90" i="1" s="1"/>
  <c r="K91" i="1"/>
  <c r="K92" i="1"/>
  <c r="W92" i="1" s="1"/>
  <c r="AA92" i="1" s="1"/>
  <c r="K93" i="1"/>
  <c r="K94" i="1"/>
  <c r="W94" i="1" s="1"/>
  <c r="X94" i="1" s="1"/>
  <c r="K95" i="1"/>
  <c r="K96" i="1"/>
  <c r="K97" i="1"/>
  <c r="K98" i="1"/>
  <c r="W98" i="1" s="1"/>
  <c r="K99" i="1"/>
  <c r="W99" i="1" s="1"/>
  <c r="K100" i="1"/>
  <c r="K1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W23" i="1" s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W39" i="1" s="1"/>
  <c r="P40" i="1"/>
  <c r="W40" i="1" s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W17" i="1" s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N3" i="1"/>
  <c r="N4" i="1"/>
  <c r="W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W26" i="1" s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W61" i="1" s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W74" i="1" s="1"/>
  <c r="X74" i="1" s="1"/>
  <c r="N75" i="1"/>
  <c r="N76" i="1"/>
  <c r="N77" i="1"/>
  <c r="W77" i="1" s="1"/>
  <c r="N78" i="1"/>
  <c r="N79" i="1"/>
  <c r="W79" i="1" s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M3" i="1"/>
  <c r="M4" i="1"/>
  <c r="M5" i="1"/>
  <c r="M6" i="1"/>
  <c r="M7" i="1"/>
  <c r="M8" i="1"/>
  <c r="M9" i="1"/>
  <c r="W9" i="1" s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W28" i="1" s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W41" i="1" s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W57" i="1" s="1"/>
  <c r="M58" i="1"/>
  <c r="M59" i="1"/>
  <c r="W59" i="1" s="1"/>
  <c r="M60" i="1"/>
  <c r="W60" i="1" s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W73" i="1" s="1"/>
  <c r="AA73" i="1" s="1"/>
  <c r="M74" i="1"/>
  <c r="M75" i="1"/>
  <c r="W75" i="1" s="1"/>
  <c r="M76" i="1"/>
  <c r="W76" i="1" s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2" i="1"/>
  <c r="K2" i="1"/>
  <c r="W2" i="1" s="1"/>
  <c r="X10" i="1" l="1"/>
  <c r="AA94" i="1"/>
  <c r="AA74" i="1"/>
  <c r="AA30" i="1"/>
  <c r="X23" i="1"/>
  <c r="AA23" i="1"/>
  <c r="AA101" i="1"/>
  <c r="X101" i="1"/>
  <c r="AA41" i="1"/>
  <c r="X41" i="1"/>
  <c r="AA80" i="1"/>
  <c r="X80" i="1"/>
  <c r="AA79" i="1"/>
  <c r="X79" i="1"/>
  <c r="X77" i="1"/>
  <c r="AA77" i="1"/>
  <c r="X39" i="1"/>
  <c r="AA39" i="1"/>
  <c r="X61" i="1"/>
  <c r="AA61" i="1"/>
  <c r="AA98" i="1"/>
  <c r="X98" i="1"/>
  <c r="AA59" i="1"/>
  <c r="X59" i="1"/>
  <c r="AA60" i="1"/>
  <c r="X60" i="1"/>
  <c r="X40" i="1"/>
  <c r="AA40" i="1"/>
  <c r="X99" i="1"/>
  <c r="AA99" i="1"/>
  <c r="AA19" i="1"/>
  <c r="X19" i="1"/>
  <c r="AA22" i="1"/>
  <c r="X22" i="1"/>
  <c r="X92" i="1"/>
  <c r="X12" i="1"/>
  <c r="W88" i="1"/>
  <c r="W72" i="1"/>
  <c r="W24" i="1"/>
  <c r="W91" i="1"/>
  <c r="W43" i="1"/>
  <c r="W27" i="1"/>
  <c r="W11" i="1"/>
  <c r="X90" i="1"/>
  <c r="AA97" i="1"/>
  <c r="X97" i="1"/>
  <c r="AA81" i="1"/>
  <c r="X81" i="1"/>
  <c r="X25" i="1"/>
  <c r="AA25" i="1"/>
  <c r="AA4" i="1"/>
  <c r="X4" i="1"/>
  <c r="W87" i="1"/>
  <c r="X89" i="1"/>
  <c r="X73" i="1"/>
  <c r="AA58" i="1"/>
  <c r="X58" i="1"/>
  <c r="X70" i="1"/>
  <c r="AA14" i="1"/>
  <c r="AA44" i="1"/>
  <c r="X44" i="1"/>
  <c r="AA86" i="1"/>
  <c r="X86" i="1"/>
  <c r="AA76" i="1"/>
  <c r="X76" i="1"/>
  <c r="X28" i="1"/>
  <c r="AA28" i="1"/>
  <c r="W83" i="1"/>
  <c r="W67" i="1"/>
  <c r="W51" i="1"/>
  <c r="W35" i="1"/>
  <c r="W3" i="1"/>
  <c r="AA38" i="1"/>
  <c r="X38" i="1"/>
  <c r="AA42" i="1"/>
  <c r="X42" i="1"/>
  <c r="W5" i="1"/>
  <c r="W96" i="1"/>
  <c r="W16" i="1"/>
  <c r="AA17" i="1"/>
  <c r="X17" i="1"/>
  <c r="W48" i="1"/>
  <c r="W56" i="1"/>
  <c r="W47" i="1"/>
  <c r="W31" i="1"/>
  <c r="W15" i="1"/>
  <c r="X50" i="1"/>
  <c r="AA75" i="1"/>
  <c r="X75" i="1"/>
  <c r="AA66" i="1"/>
  <c r="X66" i="1"/>
  <c r="X9" i="1"/>
  <c r="AA9" i="1"/>
  <c r="W64" i="1"/>
  <c r="AA2" i="1"/>
  <c r="X2" i="1"/>
  <c r="W95" i="1"/>
  <c r="W55" i="1"/>
  <c r="X34" i="1"/>
  <c r="AA18" i="1"/>
  <c r="X18" i="1"/>
  <c r="AA82" i="1"/>
  <c r="X82" i="1"/>
  <c r="AA57" i="1"/>
  <c r="X57" i="1"/>
  <c r="W32" i="1"/>
  <c r="W8" i="1"/>
  <c r="W63" i="1"/>
  <c r="W71" i="1"/>
  <c r="W7" i="1"/>
  <c r="W65" i="1"/>
  <c r="W49" i="1"/>
  <c r="W33" i="1"/>
  <c r="AA26" i="1"/>
  <c r="X26" i="1"/>
  <c r="W93" i="1"/>
  <c r="W45" i="1"/>
  <c r="W29" i="1"/>
  <c r="W13" i="1"/>
  <c r="AA54" i="1"/>
  <c r="AA46" i="1"/>
  <c r="AA62" i="1"/>
  <c r="W85" i="1"/>
  <c r="W69" i="1"/>
  <c r="W53" i="1"/>
  <c r="W37" i="1"/>
  <c r="W21" i="1"/>
  <c r="W6" i="1"/>
  <c r="AA78" i="1"/>
  <c r="W100" i="1"/>
  <c r="W84" i="1"/>
  <c r="W68" i="1"/>
  <c r="W52" i="1"/>
  <c r="W36" i="1"/>
  <c r="W20" i="1"/>
  <c r="AA15" i="1" l="1"/>
  <c r="X15" i="1"/>
  <c r="X31" i="1"/>
  <c r="AA31" i="1"/>
  <c r="AA47" i="1"/>
  <c r="X47" i="1"/>
  <c r="AA56" i="1"/>
  <c r="X56" i="1"/>
  <c r="AA3" i="1"/>
  <c r="X3" i="1"/>
  <c r="AA95" i="1"/>
  <c r="X95" i="1"/>
  <c r="AA51" i="1"/>
  <c r="X51" i="1"/>
  <c r="AA11" i="1"/>
  <c r="X11" i="1"/>
  <c r="X6" i="1"/>
  <c r="AA6" i="1"/>
  <c r="AA21" i="1"/>
  <c r="X21" i="1"/>
  <c r="AA37" i="1"/>
  <c r="X37" i="1"/>
  <c r="X36" i="1"/>
  <c r="AA36" i="1"/>
  <c r="X55" i="1"/>
  <c r="AA55" i="1"/>
  <c r="AA48" i="1"/>
  <c r="X48" i="1"/>
  <c r="X35" i="1"/>
  <c r="AA35" i="1"/>
  <c r="AA52" i="1"/>
  <c r="X52" i="1"/>
  <c r="X68" i="1"/>
  <c r="AA68" i="1"/>
  <c r="AA27" i="1"/>
  <c r="X27" i="1"/>
  <c r="X85" i="1"/>
  <c r="AA85" i="1"/>
  <c r="AA49" i="1"/>
  <c r="X49" i="1"/>
  <c r="AA83" i="1"/>
  <c r="X83" i="1"/>
  <c r="AA43" i="1"/>
  <c r="X43" i="1"/>
  <c r="X67" i="1"/>
  <c r="AA67" i="1"/>
  <c r="AA84" i="1"/>
  <c r="X84" i="1"/>
  <c r="X13" i="1"/>
  <c r="AA13" i="1"/>
  <c r="X71" i="1"/>
  <c r="AA71" i="1"/>
  <c r="AA100" i="1"/>
  <c r="X100" i="1"/>
  <c r="X29" i="1"/>
  <c r="AA29" i="1"/>
  <c r="AA63" i="1"/>
  <c r="X63" i="1"/>
  <c r="AA64" i="1"/>
  <c r="X64" i="1"/>
  <c r="AA16" i="1"/>
  <c r="X16" i="1"/>
  <c r="AA91" i="1"/>
  <c r="X91" i="1"/>
  <c r="AA53" i="1"/>
  <c r="X53" i="1"/>
  <c r="X7" i="1"/>
  <c r="AA7" i="1"/>
  <c r="X45" i="1"/>
  <c r="AA45" i="1"/>
  <c r="X8" i="1"/>
  <c r="AA8" i="1"/>
  <c r="AA96" i="1"/>
  <c r="X96" i="1"/>
  <c r="AA24" i="1"/>
  <c r="X24" i="1"/>
  <c r="AA65" i="1"/>
  <c r="X65" i="1"/>
  <c r="AA20" i="1"/>
  <c r="X20" i="1"/>
  <c r="X93" i="1"/>
  <c r="AA93" i="1"/>
  <c r="X32" i="1"/>
  <c r="AA32" i="1"/>
  <c r="AA5" i="1"/>
  <c r="X5" i="1"/>
  <c r="AA72" i="1"/>
  <c r="X72" i="1"/>
  <c r="X87" i="1"/>
  <c r="AA87" i="1"/>
  <c r="X88" i="1"/>
  <c r="AA88" i="1"/>
  <c r="AA69" i="1"/>
  <c r="X69" i="1"/>
  <c r="AA33" i="1"/>
  <c r="X33" i="1"/>
  <c r="AB2" i="1" l="1"/>
  <c r="AC2" i="1"/>
  <c r="AE2" i="1" a="1"/>
  <c r="AE2" i="1" s="1"/>
  <c r="AF2" i="1" l="1"/>
  <c r="A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<sst xmlns="http://schemas.openxmlformats.org/spreadsheetml/2006/main" count="36" uniqueCount="28">
  <si>
    <t>Date</t>
  </si>
  <si>
    <t>AAPL</t>
  </si>
  <si>
    <t>GOOG</t>
  </si>
  <si>
    <t>MSFT</t>
  </si>
  <si>
    <t>TSLA</t>
  </si>
  <si>
    <t>AMZN</t>
  </si>
  <si>
    <t>NVDA</t>
  </si>
  <si>
    <t>TSM</t>
  </si>
  <si>
    <t>AVGO</t>
  </si>
  <si>
    <t>R_AAPL</t>
  </si>
  <si>
    <t>R_GOOG</t>
  </si>
  <si>
    <t>R_MSFT</t>
  </si>
  <si>
    <t>R_TSLA</t>
  </si>
  <si>
    <t>R_AMZN</t>
  </si>
  <si>
    <t>R_NVDA</t>
  </si>
  <si>
    <t>R_TSM</t>
  </si>
  <si>
    <t>R_AVGO</t>
  </si>
  <si>
    <t>Weights</t>
  </si>
  <si>
    <t>R_port</t>
  </si>
  <si>
    <t>Excess_Rp</t>
  </si>
  <si>
    <t>Rf_annual</t>
  </si>
  <si>
    <t>Rf_daily</t>
  </si>
  <si>
    <t>Downside</t>
  </si>
  <si>
    <t>Mean_Excess</t>
  </si>
  <si>
    <t>Vol_Excess</t>
  </si>
  <si>
    <t>Sharpe</t>
  </si>
  <si>
    <t>DownDev</t>
  </si>
  <si>
    <t>Sortino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</si>
</sst>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95249</xdr:colOff>
      <xdr:row>15</xdr:row>
      <xdr:rowOff>76199</xdr:rowOff>
    </xdr:from>
    <xdr:to>
      <xdr:col>37</xdr:col>
      <xdr:colOff>581024</xdr:colOff>
      <xdr:row>30</xdr:row>
      <xdr:rowOff>95249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DDE517-A0C0-7F8B-7624-2618910C9900}"/>
            </a:ext>
          </a:extLst>
        </xdr:cNvPr>
        <xdr:cNvSpPr txBox="1"/>
      </xdr:nvSpPr>
      <xdr:spPr>
        <a:xfrm>
          <a:off x="24183974" y="3076574"/>
          <a:ext cx="7191375" cy="3019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/>
            <a:t>В работе были использованы дневные данные по ценам акций восьми компаний. Данные предварительно были отсортированы по дате в хронологическом порядке. На основе цен были рассчитаны простые дневные доходности активов. Доходность портфеля определялась как взвешенная сумма доходностей отдельных активов.</a:t>
          </a:r>
        </a:p>
        <a:p>
          <a:r>
            <a:rPr lang="ru-RU"/>
            <a:t>Безрисковая ставка была принята равной 4% годовых и приведена к дневной частоте путём деления на 252. На её основе была рассчитана избыточная доходность портфеля. Ожидаемая избыточная доходность и риск портфеля оценивались с использованием выборочного среднего и стандартного отклонения. Для оценки эффективности портфеля были рассчитаны отношения Шарпа и Сортино, причём отношение Сортино вычислялось с использованием </a:t>
          </a:r>
          <a:r>
            <a:rPr lang="en-US"/>
            <a:t>downside deviation </a:t>
          </a:r>
          <a:r>
            <a:rPr lang="ru-RU"/>
            <a:t>относительно безрисковой ставки.</a:t>
          </a:r>
        </a:p>
        <a:p>
          <a:r>
            <a:rPr lang="ru-RU"/>
            <a:t>Далее с помощью инструмента «Поиск решения» в </a:t>
          </a:r>
          <a:r>
            <a:rPr lang="en-US"/>
            <a:t>Excel </a:t>
          </a:r>
          <a:r>
            <a:rPr lang="ru-RU"/>
            <a:t>была проведена оптимизация портфеля. В качестве целевой функции использовалось максимизируемое отношение Шарпа портфеля. Переменными выступали доли активов в портфеле, при ограничениях на неотрицательность весов и равенство их суммы единице. В результате оптимизации было получено угловое решение, при котором максимальное значение отношения Шарпа достигается при полной концентрации портфеля в акции </a:t>
          </a:r>
          <a:r>
            <a:rPr lang="en-US"/>
            <a:t>GOOG. </a:t>
          </a:r>
          <a:r>
            <a:rPr lang="ru-RU"/>
            <a:t>Это означает, что за рассматриваемый период данный актив обладал наилучшим соотношением доходности и риска по сравнению с остальными активами портфеля.</a:t>
          </a:r>
        </a:p>
        <a:p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1"/>
  <sheetViews>
    <sheetView tabSelected="1" topLeftCell="T1" workbookViewId="0">
      <selection activeCell="AE8" sqref="AE8"/>
    </sheetView>
  </sheetViews>
  <sheetFormatPr defaultColWidth="12.5703125" defaultRowHeight="15.75" customHeight="1"/>
  <cols>
    <col min="2" max="2" width="14.140625" customWidth="1"/>
    <col min="3" max="3" width="11.28515625" customWidth="1"/>
    <col min="4" max="4" width="9.7109375" customWidth="1"/>
    <col min="5" max="5" width="15.7109375" customWidth="1"/>
    <col min="6" max="6" width="13.42578125" customWidth="1"/>
    <col min="7" max="7" width="11.85546875" customWidth="1"/>
    <col min="8" max="8" width="10.42578125" customWidth="1"/>
    <col min="9" max="9" width="10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T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</row>
    <row r="2" spans="1:32">
      <c r="A2" s="2">
        <v>45896.208333333328</v>
      </c>
      <c r="B2" s="1">
        <v>230.49</v>
      </c>
      <c r="C2" s="1">
        <v>208.21</v>
      </c>
      <c r="D2" s="1">
        <v>506.74</v>
      </c>
      <c r="E2" s="1">
        <v>349.6</v>
      </c>
      <c r="F2" s="1">
        <v>229.12</v>
      </c>
      <c r="G2" s="1">
        <v>181.6</v>
      </c>
      <c r="H2" s="1">
        <v>239.29</v>
      </c>
      <c r="I2" s="1">
        <v>300.25</v>
      </c>
      <c r="K2">
        <f>B3/B2-1</f>
        <v>8.9808668488871035E-3</v>
      </c>
      <c r="L2">
        <f>C3/C2-1</f>
        <v>1.9979828058210414E-2</v>
      </c>
      <c r="M2">
        <f>D3/D2-1</f>
        <v>5.7228559024351533E-3</v>
      </c>
      <c r="N2">
        <f>E3/E2-1</f>
        <v>-1.0354691075514899E-2</v>
      </c>
      <c r="O2">
        <f>F3/F2-1</f>
        <v>1.08240223463687E-2</v>
      </c>
      <c r="P2">
        <f>G3/G2-1</f>
        <v>-7.8744493392071124E-3</v>
      </c>
      <c r="Q2">
        <f>H3/H2-1</f>
        <v>-4.2626102219064377E-3</v>
      </c>
      <c r="R2">
        <f>I3/I2-1</f>
        <v>2.7976686094920877E-2</v>
      </c>
      <c r="T2" t="s">
        <v>1</v>
      </c>
      <c r="U2">
        <v>0</v>
      </c>
      <c r="W2">
        <f>IFERROR(K2,0)*$U$2 + IFERROR(L2,0)*$U$3 + IFERROR(M2,0)*$U$4 + IFERROR(N2,0)*$U$5 + IFERROR(O2,0)*$U$6 + IFERROR(P2,0)*$U$7 + IFERROR(Q2,0)*$U$8 + IFERROR(R2,0)*$U$9</f>
        <v>1.9979828058210414E-2</v>
      </c>
      <c r="X2">
        <f>W2-$Z$2</f>
        <v>1.9821097899480253E-2</v>
      </c>
      <c r="Y2">
        <v>0.04</v>
      </c>
      <c r="Z2">
        <f>Y2/252</f>
        <v>1.5873015873015873E-4</v>
      </c>
      <c r="AA2">
        <f>MIN(0, W2-$Z$2)</f>
        <v>0</v>
      </c>
      <c r="AB2">
        <f>AVERAGE(X3:X9999)</f>
        <v>-5.8724669796341991E-3</v>
      </c>
      <c r="AC2">
        <f>_xlfn.STDEV.S(X3:X9999)</f>
        <v>0.10265925994543919</v>
      </c>
      <c r="AD2">
        <f>AB2/AC2</f>
        <v>-5.7203480550661163E-2</v>
      </c>
      <c r="AE2" cm="1">
        <f t="array" ref="AE2">SQRT(AVERAGE(AA3:AA9999^2))</f>
        <v>1.0042015492692567E-2</v>
      </c>
      <c r="AF2">
        <f>AB2/AE2</f>
        <v>-0.58478967533036674</v>
      </c>
    </row>
    <row r="3" spans="1:32">
      <c r="A3" s="2">
        <v>45897.208333333328</v>
      </c>
      <c r="B3" s="1">
        <v>232.56</v>
      </c>
      <c r="C3" s="1">
        <v>212.37</v>
      </c>
      <c r="D3" s="1">
        <v>509.64</v>
      </c>
      <c r="E3" s="1">
        <v>345.98</v>
      </c>
      <c r="F3" s="1">
        <v>231.6</v>
      </c>
      <c r="G3" s="1">
        <v>180.17</v>
      </c>
      <c r="H3" s="1">
        <v>238.27</v>
      </c>
      <c r="I3" s="1">
        <v>308.64999999999998</v>
      </c>
      <c r="K3">
        <f t="shared" ref="K3:K66" si="0">B4/B3-1</f>
        <v>-1.8059855521156409E-3</v>
      </c>
      <c r="L3">
        <f t="shared" ref="L3:L66" si="1">C4/C3-1</f>
        <v>5.4621650892310303E-3</v>
      </c>
      <c r="M3">
        <f t="shared" ref="M3:M66" si="2">D4/D3-1</f>
        <v>-5.7883996546581606E-3</v>
      </c>
      <c r="N3">
        <f t="shared" ref="N3:N66" si="3">E4/E3-1</f>
        <v>-3.5002023238337565E-2</v>
      </c>
      <c r="O3">
        <f t="shared" ref="O3:O66" si="4">F4/F3-1</f>
        <v>-1.1226252158894612E-2</v>
      </c>
      <c r="P3">
        <f t="shared" ref="P3:P66" si="5">G4/G3-1</f>
        <v>-3.3246378420380696E-2</v>
      </c>
      <c r="Q3">
        <f t="shared" ref="Q3:Q66" si="6">H4/H3-1</f>
        <v>-3.105720401225498E-2</v>
      </c>
      <c r="R3">
        <f t="shared" ref="R3:R66" si="7">I4/I3-1</f>
        <v>-3.6481451482261451E-2</v>
      </c>
      <c r="T3" t="s">
        <v>2</v>
      </c>
      <c r="U3">
        <v>1</v>
      </c>
      <c r="W3">
        <f t="shared" ref="W3:W66" si="8">IFERROR(K3,0)*$U$2 + IFERROR(L3,0)*$U$3 + IFERROR(M3,0)*$U$4 + IFERROR(N3,0)*$U$5 + IFERROR(O3,0)*$U$6 + IFERROR(P3,0)*$U$7 + IFERROR(Q3,0)*$U$8 + IFERROR(R3,0)*$U$9</f>
        <v>5.4621650892310303E-3</v>
      </c>
      <c r="X3">
        <f t="shared" ref="X3:X66" si="9">W3-$Z$2</f>
        <v>5.3034349305008718E-3</v>
      </c>
      <c r="AA3">
        <f t="shared" ref="AA3:AA66" si="10">MIN(0, W3-$Z$2)</f>
        <v>0</v>
      </c>
    </row>
    <row r="4" spans="1:32">
      <c r="A4" s="2">
        <v>45898.208333333328</v>
      </c>
      <c r="B4" s="1">
        <v>232.14</v>
      </c>
      <c r="C4" s="1">
        <v>213.53</v>
      </c>
      <c r="D4" s="1">
        <v>506.69</v>
      </c>
      <c r="E4" s="1">
        <v>333.87</v>
      </c>
      <c r="F4" s="1">
        <v>229</v>
      </c>
      <c r="G4" s="1">
        <v>174.18</v>
      </c>
      <c r="H4" s="1">
        <v>230.87</v>
      </c>
      <c r="I4" s="1">
        <v>297.39</v>
      </c>
      <c r="K4">
        <f t="shared" si="0"/>
        <v>-1.0424743689153027E-2</v>
      </c>
      <c r="L4">
        <f t="shared" si="1"/>
        <v>-7.2121013440733517E-3</v>
      </c>
      <c r="M4">
        <f t="shared" si="2"/>
        <v>-3.09854151453548E-3</v>
      </c>
      <c r="N4">
        <f t="shared" si="3"/>
        <v>-1.3508251714739239E-2</v>
      </c>
      <c r="O4">
        <f t="shared" si="4"/>
        <v>-1.5982532751091738E-2</v>
      </c>
      <c r="P4">
        <f t="shared" si="5"/>
        <v>-1.952003674359859E-2</v>
      </c>
      <c r="Q4">
        <f t="shared" si="6"/>
        <v>-1.0741976003811771E-2</v>
      </c>
      <c r="R4">
        <f t="shared" si="7"/>
        <v>2.8581996704664103E-3</v>
      </c>
      <c r="T4" t="s">
        <v>3</v>
      </c>
      <c r="U4">
        <v>0</v>
      </c>
      <c r="W4">
        <f t="shared" si="8"/>
        <v>-7.2121013440733517E-3</v>
      </c>
      <c r="X4">
        <f t="shared" si="9"/>
        <v>-7.3708315028035102E-3</v>
      </c>
      <c r="AA4">
        <f t="shared" si="10"/>
        <v>-7.3708315028035102E-3</v>
      </c>
    </row>
    <row r="5" spans="1:32">
      <c r="A5" s="2">
        <v>45902.208333333328</v>
      </c>
      <c r="B5" s="1">
        <v>229.72</v>
      </c>
      <c r="C5" s="1">
        <v>211.99</v>
      </c>
      <c r="D5" s="1">
        <v>505.12</v>
      </c>
      <c r="E5" s="1">
        <v>329.36</v>
      </c>
      <c r="F5" s="1">
        <v>225.34</v>
      </c>
      <c r="G5" s="1">
        <v>170.78</v>
      </c>
      <c r="H5" s="1">
        <v>228.39</v>
      </c>
      <c r="I5" s="1">
        <v>298.24</v>
      </c>
      <c r="K5">
        <f t="shared" si="0"/>
        <v>3.8089848511231095E-2</v>
      </c>
      <c r="L5">
        <f t="shared" si="1"/>
        <v>9.0145761592527851E-2</v>
      </c>
      <c r="M5">
        <f t="shared" si="2"/>
        <v>4.5533734558134142E-4</v>
      </c>
      <c r="N5">
        <f t="shared" si="3"/>
        <v>1.4361185329123005E-2</v>
      </c>
      <c r="O5">
        <f t="shared" si="4"/>
        <v>2.8845300434898746E-3</v>
      </c>
      <c r="P5">
        <f t="shared" si="5"/>
        <v>-9.3687785454965589E-4</v>
      </c>
      <c r="Q5">
        <f t="shared" si="6"/>
        <v>1.3135426244581527E-2</v>
      </c>
      <c r="R5">
        <f t="shared" si="7"/>
        <v>1.3914967811158752E-2</v>
      </c>
      <c r="T5" t="s">
        <v>4</v>
      </c>
      <c r="U5">
        <v>0</v>
      </c>
      <c r="W5">
        <f t="shared" si="8"/>
        <v>9.0145761592527851E-2</v>
      </c>
      <c r="X5">
        <f t="shared" si="9"/>
        <v>8.9987031433797687E-2</v>
      </c>
      <c r="AA5">
        <f t="shared" si="10"/>
        <v>0</v>
      </c>
    </row>
    <row r="6" spans="1:32">
      <c r="A6" s="2">
        <v>45903.208333333328</v>
      </c>
      <c r="B6" s="1">
        <v>238.47</v>
      </c>
      <c r="C6" s="1">
        <v>231.1</v>
      </c>
      <c r="D6" s="1">
        <v>505.35</v>
      </c>
      <c r="E6" s="1">
        <v>334.09</v>
      </c>
      <c r="F6" s="1">
        <v>225.99</v>
      </c>
      <c r="G6" s="1">
        <v>170.62</v>
      </c>
      <c r="H6" s="1">
        <v>231.39</v>
      </c>
      <c r="I6" s="1">
        <v>302.39</v>
      </c>
      <c r="K6">
        <f t="shared" si="0"/>
        <v>5.4933534616514734E-3</v>
      </c>
      <c r="L6">
        <f t="shared" si="1"/>
        <v>6.750324534833485E-3</v>
      </c>
      <c r="M6">
        <f t="shared" si="2"/>
        <v>5.1845255763331988E-3</v>
      </c>
      <c r="N6">
        <f t="shared" si="3"/>
        <v>1.3289832081175623E-2</v>
      </c>
      <c r="O6">
        <f t="shared" si="4"/>
        <v>4.2878003451480184E-2</v>
      </c>
      <c r="P6">
        <f t="shared" si="5"/>
        <v>6.0954167155080619E-3</v>
      </c>
      <c r="Q6">
        <f t="shared" si="6"/>
        <v>1.6508924326894103E-2</v>
      </c>
      <c r="R6">
        <f t="shared" si="7"/>
        <v>1.2268924236912726E-2</v>
      </c>
      <c r="T6" t="s">
        <v>5</v>
      </c>
      <c r="U6">
        <v>0</v>
      </c>
      <c r="W6">
        <f t="shared" si="8"/>
        <v>6.750324534833485E-3</v>
      </c>
      <c r="X6">
        <f t="shared" si="9"/>
        <v>6.5915943761033265E-3</v>
      </c>
      <c r="AA6">
        <f t="shared" si="10"/>
        <v>0</v>
      </c>
    </row>
    <row r="7" spans="1:32">
      <c r="A7" s="2">
        <v>45904.208333333328</v>
      </c>
      <c r="B7" s="1">
        <v>239.78</v>
      </c>
      <c r="C7" s="1">
        <v>232.66</v>
      </c>
      <c r="D7" s="1">
        <v>507.97</v>
      </c>
      <c r="E7" s="1">
        <v>338.53</v>
      </c>
      <c r="F7" s="1">
        <v>235.68</v>
      </c>
      <c r="G7" s="1">
        <v>171.66</v>
      </c>
      <c r="H7" s="1">
        <v>235.21</v>
      </c>
      <c r="I7" s="1">
        <v>306.10000000000002</v>
      </c>
      <c r="K7">
        <f t="shared" si="0"/>
        <v>-3.7534406539330156E-4</v>
      </c>
      <c r="L7">
        <f t="shared" si="1"/>
        <v>1.0788274735665793E-2</v>
      </c>
      <c r="M7">
        <f t="shared" si="2"/>
        <v>-2.5533003917554198E-2</v>
      </c>
      <c r="N7">
        <f t="shared" si="3"/>
        <v>3.6363099282190614E-2</v>
      </c>
      <c r="O7">
        <f t="shared" si="4"/>
        <v>-1.4214188730481969E-2</v>
      </c>
      <c r="P7">
        <f t="shared" si="5"/>
        <v>-2.7030175929162237E-2</v>
      </c>
      <c r="Q7">
        <f t="shared" si="6"/>
        <v>3.4862463330640692E-2</v>
      </c>
      <c r="R7">
        <f t="shared" si="7"/>
        <v>9.4054230643580317E-2</v>
      </c>
      <c r="T7" t="s">
        <v>6</v>
      </c>
      <c r="U7">
        <v>0</v>
      </c>
      <c r="W7">
        <f t="shared" si="8"/>
        <v>1.0788274735665793E-2</v>
      </c>
      <c r="X7">
        <f t="shared" si="9"/>
        <v>1.0629544576935634E-2</v>
      </c>
      <c r="AA7">
        <f t="shared" si="10"/>
        <v>0</v>
      </c>
    </row>
    <row r="8" spans="1:32">
      <c r="A8" s="2">
        <v>45905.208333333328</v>
      </c>
      <c r="B8" s="1">
        <v>239.69</v>
      </c>
      <c r="C8" s="1">
        <v>235.17</v>
      </c>
      <c r="D8" s="1">
        <v>495</v>
      </c>
      <c r="E8" s="1">
        <v>350.84</v>
      </c>
      <c r="F8" s="1">
        <v>232.33</v>
      </c>
      <c r="G8" s="1">
        <v>167.02</v>
      </c>
      <c r="H8" s="1">
        <v>243.41</v>
      </c>
      <c r="I8" s="1">
        <v>334.89</v>
      </c>
      <c r="K8">
        <f t="shared" si="0"/>
        <v>-7.5514205849221971E-3</v>
      </c>
      <c r="L8">
        <f t="shared" si="1"/>
        <v>-4.2947654887952602E-3</v>
      </c>
      <c r="M8">
        <f t="shared" si="2"/>
        <v>6.4646464646465063E-3</v>
      </c>
      <c r="N8">
        <f t="shared" si="3"/>
        <v>-1.2655341466195402E-2</v>
      </c>
      <c r="O8">
        <f t="shared" si="4"/>
        <v>1.5107820772177538E-2</v>
      </c>
      <c r="P8">
        <f t="shared" si="5"/>
        <v>7.7236259130641916E-3</v>
      </c>
      <c r="Q8">
        <f t="shared" si="6"/>
        <v>1.5529353765252107E-2</v>
      </c>
      <c r="R8">
        <f t="shared" si="7"/>
        <v>3.2129953118934518E-2</v>
      </c>
      <c r="T8" t="s">
        <v>7</v>
      </c>
      <c r="U8">
        <v>0</v>
      </c>
      <c r="W8">
        <f t="shared" si="8"/>
        <v>-4.2947654887952602E-3</v>
      </c>
      <c r="X8">
        <f t="shared" si="9"/>
        <v>-4.4534956475254187E-3</v>
      </c>
      <c r="AA8">
        <f t="shared" si="10"/>
        <v>-4.4534956475254187E-3</v>
      </c>
    </row>
    <row r="9" spans="1:32">
      <c r="A9" s="2">
        <v>45908.208333333328</v>
      </c>
      <c r="B9" s="1">
        <v>237.88</v>
      </c>
      <c r="C9" s="1">
        <v>234.16</v>
      </c>
      <c r="D9" s="1">
        <v>498.2</v>
      </c>
      <c r="E9" s="1">
        <v>346.4</v>
      </c>
      <c r="F9" s="1">
        <v>235.84</v>
      </c>
      <c r="G9" s="1">
        <v>168.31</v>
      </c>
      <c r="H9" s="1">
        <v>247.19</v>
      </c>
      <c r="I9" s="1">
        <v>345.65</v>
      </c>
      <c r="K9">
        <f t="shared" si="0"/>
        <v>-1.4839414831007258E-2</v>
      </c>
      <c r="L9">
        <f t="shared" si="1"/>
        <v>2.4683976768021809E-2</v>
      </c>
      <c r="M9">
        <f t="shared" si="2"/>
        <v>4.2151746286633873E-4</v>
      </c>
      <c r="N9">
        <f t="shared" si="3"/>
        <v>1.6454965357968199E-3</v>
      </c>
      <c r="O9">
        <f t="shared" si="4"/>
        <v>1.0176390773405819E-2</v>
      </c>
      <c r="P9">
        <f t="shared" si="5"/>
        <v>1.4556473174499374E-2</v>
      </c>
      <c r="Q9">
        <f t="shared" si="6"/>
        <v>1.5089607184756604E-2</v>
      </c>
      <c r="R9">
        <f t="shared" si="7"/>
        <v>-2.5980037610299322E-2</v>
      </c>
      <c r="T9" t="s">
        <v>8</v>
      </c>
      <c r="U9">
        <v>0</v>
      </c>
      <c r="W9">
        <f t="shared" si="8"/>
        <v>2.4683976768021809E-2</v>
      </c>
      <c r="X9">
        <f t="shared" si="9"/>
        <v>2.4525246609291649E-2</v>
      </c>
      <c r="AA9">
        <f t="shared" si="10"/>
        <v>0</v>
      </c>
    </row>
    <row r="10" spans="1:32">
      <c r="A10" s="2">
        <v>45909.208333333328</v>
      </c>
      <c r="B10" s="1">
        <v>234.35</v>
      </c>
      <c r="C10" s="1">
        <v>239.94</v>
      </c>
      <c r="D10" s="1">
        <v>498.41</v>
      </c>
      <c r="E10" s="1">
        <v>346.97</v>
      </c>
      <c r="F10" s="1">
        <v>238.24</v>
      </c>
      <c r="G10" s="1">
        <v>170.76</v>
      </c>
      <c r="H10" s="1">
        <v>250.92</v>
      </c>
      <c r="I10" s="1">
        <v>336.67</v>
      </c>
      <c r="K10">
        <f t="shared" si="0"/>
        <v>-3.2259441007040812E-2</v>
      </c>
      <c r="L10">
        <f t="shared" si="1"/>
        <v>-1.5837292656497581E-3</v>
      </c>
      <c r="M10">
        <f t="shared" si="2"/>
        <v>3.9325053670671295E-3</v>
      </c>
      <c r="N10">
        <f t="shared" si="3"/>
        <v>2.3633167132603994E-3</v>
      </c>
      <c r="O10">
        <f t="shared" si="4"/>
        <v>-3.3201813297515148E-2</v>
      </c>
      <c r="P10">
        <f t="shared" si="5"/>
        <v>3.8475052705551738E-2</v>
      </c>
      <c r="Q10">
        <f t="shared" si="6"/>
        <v>3.7940379403794022E-2</v>
      </c>
      <c r="R10">
        <f t="shared" si="7"/>
        <v>9.7721804734606454E-2</v>
      </c>
      <c r="U10">
        <f>SUM(U2:U9)</f>
        <v>1</v>
      </c>
      <c r="W10">
        <f>IFERROR(K10,0)*$U$2 + IFERROR(L10,0)*$U$3 + IFERROR(M10,0)*$U$4 + IFERROR(N10,0)*$U$5 + IFERROR(O10,0)*$U$6 + IFERROR(P10,0)*$U$7 + IFERROR(Q10,0)*$U$8 + IFERROR(R10,0)*$U$9</f>
        <v>-1.5837292656497581E-3</v>
      </c>
      <c r="X10">
        <f t="shared" si="9"/>
        <v>-1.7424594243799169E-3</v>
      </c>
      <c r="AA10">
        <f t="shared" si="10"/>
        <v>-1.7424594243799169E-3</v>
      </c>
    </row>
    <row r="11" spans="1:32">
      <c r="A11" s="2">
        <v>45910.208333333328</v>
      </c>
      <c r="B11" s="1">
        <v>226.79</v>
      </c>
      <c r="C11" s="1">
        <v>239.56</v>
      </c>
      <c r="D11" s="1">
        <v>500.37</v>
      </c>
      <c r="E11" s="1">
        <v>347.79</v>
      </c>
      <c r="F11" s="1">
        <v>230.33</v>
      </c>
      <c r="G11" s="1">
        <v>177.33</v>
      </c>
      <c r="H11" s="1">
        <v>260.44</v>
      </c>
      <c r="I11" s="1">
        <v>369.57</v>
      </c>
      <c r="K11">
        <f t="shared" si="0"/>
        <v>1.4286344195070466E-2</v>
      </c>
      <c r="L11">
        <f t="shared" si="1"/>
        <v>5.0926698948070559E-3</v>
      </c>
      <c r="M11">
        <f t="shared" si="2"/>
        <v>1.2790535004096881E-3</v>
      </c>
      <c r="N11">
        <f t="shared" si="3"/>
        <v>6.0438770522441621E-2</v>
      </c>
      <c r="O11">
        <f t="shared" si="4"/>
        <v>-1.6498067989407783E-3</v>
      </c>
      <c r="P11">
        <f t="shared" si="5"/>
        <v>-9.0227259910913293E-4</v>
      </c>
      <c r="Q11">
        <f t="shared" si="6"/>
        <v>-5.8746736292427659E-3</v>
      </c>
      <c r="R11">
        <f t="shared" si="7"/>
        <v>-2.689612252076734E-2</v>
      </c>
      <c r="W11">
        <f t="shared" si="8"/>
        <v>5.0926698948070559E-3</v>
      </c>
      <c r="X11">
        <f t="shared" si="9"/>
        <v>4.9339397360768974E-3</v>
      </c>
      <c r="AA11">
        <f t="shared" si="10"/>
        <v>0</v>
      </c>
    </row>
    <row r="12" spans="1:32">
      <c r="A12" s="2">
        <v>45911.208333333328</v>
      </c>
      <c r="B12" s="1">
        <v>230.03</v>
      </c>
      <c r="C12" s="1">
        <v>240.78</v>
      </c>
      <c r="D12" s="1">
        <v>501.01</v>
      </c>
      <c r="E12" s="1">
        <v>368.81</v>
      </c>
      <c r="F12" s="1">
        <v>229.95</v>
      </c>
      <c r="G12" s="1">
        <v>177.17</v>
      </c>
      <c r="H12" s="1">
        <v>258.91000000000003</v>
      </c>
      <c r="I12" s="1">
        <v>359.63</v>
      </c>
      <c r="K12">
        <f t="shared" si="0"/>
        <v>1.7562926574794524E-2</v>
      </c>
      <c r="L12">
        <f t="shared" si="1"/>
        <v>2.4919013207076457E-3</v>
      </c>
      <c r="M12">
        <f t="shared" si="2"/>
        <v>1.7744156803257471E-2</v>
      </c>
      <c r="N12">
        <f t="shared" si="3"/>
        <v>7.3560912122773159E-2</v>
      </c>
      <c r="O12">
        <f t="shared" si="4"/>
        <v>-7.8277886497063465E-3</v>
      </c>
      <c r="P12">
        <f t="shared" si="5"/>
        <v>3.6687926849918728E-3</v>
      </c>
      <c r="Q12">
        <f t="shared" si="6"/>
        <v>1.6221853153604027E-3</v>
      </c>
      <c r="R12">
        <f t="shared" si="7"/>
        <v>6.6735255679439831E-4</v>
      </c>
      <c r="W12">
        <f t="shared" si="8"/>
        <v>2.4919013207076457E-3</v>
      </c>
      <c r="X12">
        <f t="shared" si="9"/>
        <v>2.3331711619774872E-3</v>
      </c>
      <c r="AA12">
        <f t="shared" si="10"/>
        <v>0</v>
      </c>
    </row>
    <row r="13" spans="1:32">
      <c r="A13" s="2">
        <v>45912.208333333328</v>
      </c>
      <c r="B13" s="1">
        <v>234.07</v>
      </c>
      <c r="C13" s="1">
        <v>241.38</v>
      </c>
      <c r="D13" s="1">
        <v>509.9</v>
      </c>
      <c r="E13" s="1">
        <v>395.94</v>
      </c>
      <c r="F13" s="1">
        <v>228.15</v>
      </c>
      <c r="G13" s="1">
        <v>177.82</v>
      </c>
      <c r="H13" s="1">
        <v>259.33</v>
      </c>
      <c r="I13" s="1">
        <v>359.87</v>
      </c>
      <c r="K13">
        <f t="shared" si="0"/>
        <v>1.1235955056179803E-2</v>
      </c>
      <c r="L13">
        <f t="shared" si="1"/>
        <v>4.3002734277902022E-2</v>
      </c>
      <c r="M13">
        <f t="shared" si="2"/>
        <v>1.0707981957246648E-2</v>
      </c>
      <c r="N13">
        <f t="shared" si="3"/>
        <v>3.5611456281254839E-2</v>
      </c>
      <c r="O13">
        <f t="shared" si="4"/>
        <v>1.4376506684198986E-2</v>
      </c>
      <c r="P13">
        <f t="shared" si="5"/>
        <v>-3.9365650657963158E-4</v>
      </c>
      <c r="Q13">
        <f t="shared" si="6"/>
        <v>7.9049859252691146E-3</v>
      </c>
      <c r="R13">
        <f t="shared" si="7"/>
        <v>1.1726456776057992E-2</v>
      </c>
      <c r="W13">
        <f t="shared" si="8"/>
        <v>4.3002734277902022E-2</v>
      </c>
      <c r="X13">
        <f t="shared" si="9"/>
        <v>4.2844004119171865E-2</v>
      </c>
      <c r="AA13">
        <f t="shared" si="10"/>
        <v>0</v>
      </c>
    </row>
    <row r="14" spans="1:32">
      <c r="A14" s="2">
        <v>45915.208333333328</v>
      </c>
      <c r="B14" s="1">
        <v>236.7</v>
      </c>
      <c r="C14" s="1">
        <v>251.76</v>
      </c>
      <c r="D14" s="1">
        <v>515.36</v>
      </c>
      <c r="E14" s="1">
        <v>410.04</v>
      </c>
      <c r="F14" s="1">
        <v>231.43</v>
      </c>
      <c r="G14" s="1">
        <v>177.75</v>
      </c>
      <c r="H14" s="1">
        <v>261.38</v>
      </c>
      <c r="I14" s="1">
        <v>364.09</v>
      </c>
      <c r="K14">
        <f t="shared" si="0"/>
        <v>6.1258977608789067E-3</v>
      </c>
      <c r="L14">
        <f t="shared" si="1"/>
        <v>-1.3504925325706907E-3</v>
      </c>
      <c r="M14">
        <f t="shared" si="2"/>
        <v>-1.2263272275690795E-2</v>
      </c>
      <c r="N14">
        <f t="shared" si="3"/>
        <v>2.8241147205150696E-2</v>
      </c>
      <c r="O14">
        <f t="shared" si="4"/>
        <v>1.1320917772112526E-2</v>
      </c>
      <c r="P14">
        <f t="shared" si="5"/>
        <v>-1.6146272855133592E-2</v>
      </c>
      <c r="Q14">
        <f t="shared" si="6"/>
        <v>2.6015762491391481E-3</v>
      </c>
      <c r="R14">
        <f t="shared" si="7"/>
        <v>-1.123348622593312E-2</v>
      </c>
      <c r="W14">
        <f t="shared" si="8"/>
        <v>-1.3504925325706907E-3</v>
      </c>
      <c r="X14">
        <f t="shared" si="9"/>
        <v>-1.5092226913008494E-3</v>
      </c>
      <c r="AA14">
        <f t="shared" si="10"/>
        <v>-1.5092226913008494E-3</v>
      </c>
    </row>
    <row r="15" spans="1:32">
      <c r="A15" s="2">
        <v>45916.208333333328</v>
      </c>
      <c r="B15" s="1">
        <v>238.15</v>
      </c>
      <c r="C15" s="1">
        <v>251.42</v>
      </c>
      <c r="D15" s="1">
        <v>509.04</v>
      </c>
      <c r="E15" s="1">
        <v>421.62</v>
      </c>
      <c r="F15" s="1">
        <v>234.05</v>
      </c>
      <c r="G15" s="1">
        <v>174.88</v>
      </c>
      <c r="H15" s="1">
        <v>262.06</v>
      </c>
      <c r="I15" s="1">
        <v>360</v>
      </c>
      <c r="K15">
        <f t="shared" si="0"/>
        <v>3.5271887465881946E-3</v>
      </c>
      <c r="L15">
        <f t="shared" si="1"/>
        <v>-6.2445310635589335E-3</v>
      </c>
      <c r="M15">
        <f t="shared" si="2"/>
        <v>1.9251925192518282E-3</v>
      </c>
      <c r="N15">
        <f t="shared" si="3"/>
        <v>1.0056448935060081E-2</v>
      </c>
      <c r="O15">
        <f t="shared" si="4"/>
        <v>-1.0382396923734327E-2</v>
      </c>
      <c r="P15">
        <f t="shared" si="5"/>
        <v>-2.6246569075937809E-2</v>
      </c>
      <c r="Q15">
        <f t="shared" si="6"/>
        <v>2.7856216133710365E-3</v>
      </c>
      <c r="R15">
        <f t="shared" si="7"/>
        <v>-3.8416666666666655E-2</v>
      </c>
      <c r="W15">
        <f t="shared" si="8"/>
        <v>-6.2445310635589335E-3</v>
      </c>
      <c r="X15">
        <f t="shared" si="9"/>
        <v>-6.403261222289092E-3</v>
      </c>
      <c r="AA15">
        <f t="shared" si="10"/>
        <v>-6.403261222289092E-3</v>
      </c>
    </row>
    <row r="16" spans="1:32">
      <c r="A16" s="2">
        <v>45917.208333333328</v>
      </c>
      <c r="B16" s="1">
        <v>238.99</v>
      </c>
      <c r="C16" s="1">
        <v>249.85</v>
      </c>
      <c r="D16" s="1">
        <v>510.02</v>
      </c>
      <c r="E16" s="1">
        <v>425.86</v>
      </c>
      <c r="F16" s="1">
        <v>231.62</v>
      </c>
      <c r="G16" s="1">
        <v>170.29</v>
      </c>
      <c r="H16" s="1">
        <v>262.79000000000002</v>
      </c>
      <c r="I16" s="1">
        <v>346.17</v>
      </c>
      <c r="K16">
        <f t="shared" si="0"/>
        <v>-4.6445457968953274E-3</v>
      </c>
      <c r="L16">
        <f t="shared" si="1"/>
        <v>9.9259555733439697E-3</v>
      </c>
      <c r="M16">
        <f t="shared" si="2"/>
        <v>-3.0783106544841621E-3</v>
      </c>
      <c r="N16">
        <f t="shared" si="3"/>
        <v>-2.1157187808199862E-2</v>
      </c>
      <c r="O16">
        <f t="shared" si="4"/>
        <v>-1.6837924186167141E-3</v>
      </c>
      <c r="P16">
        <f t="shared" si="5"/>
        <v>3.4940395795407975E-2</v>
      </c>
      <c r="Q16">
        <f t="shared" si="6"/>
        <v>2.2261121047223886E-2</v>
      </c>
      <c r="R16">
        <f t="shared" si="7"/>
        <v>-2.368778345899436E-3</v>
      </c>
      <c r="W16">
        <f t="shared" si="8"/>
        <v>9.9259555733439697E-3</v>
      </c>
      <c r="X16">
        <f t="shared" si="9"/>
        <v>9.7672254146138112E-3</v>
      </c>
      <c r="AA16">
        <f t="shared" si="10"/>
        <v>0</v>
      </c>
    </row>
    <row r="17" spans="1:27">
      <c r="A17" s="2">
        <v>45918.208333333328</v>
      </c>
      <c r="B17" s="1">
        <v>237.88</v>
      </c>
      <c r="C17" s="1">
        <v>252.33</v>
      </c>
      <c r="D17" s="1">
        <v>508.45</v>
      </c>
      <c r="E17" s="1">
        <v>416.85</v>
      </c>
      <c r="F17" s="1">
        <v>231.23</v>
      </c>
      <c r="G17" s="1">
        <v>176.24</v>
      </c>
      <c r="H17" s="1">
        <v>268.64</v>
      </c>
      <c r="I17" s="1">
        <v>345.35</v>
      </c>
      <c r="K17">
        <f t="shared" si="0"/>
        <v>3.2032957793845629E-2</v>
      </c>
      <c r="L17">
        <f t="shared" si="1"/>
        <v>1.1532516942099669E-2</v>
      </c>
      <c r="M17">
        <f t="shared" si="2"/>
        <v>1.8644901170223216E-2</v>
      </c>
      <c r="N17">
        <f t="shared" si="3"/>
        <v>2.2118267962096594E-2</v>
      </c>
      <c r="O17">
        <f t="shared" si="4"/>
        <v>1.0811745880725532E-3</v>
      </c>
      <c r="P17">
        <f t="shared" si="5"/>
        <v>2.4398547435313667E-3</v>
      </c>
      <c r="Q17">
        <f t="shared" si="6"/>
        <v>-1.4033650982727797E-2</v>
      </c>
      <c r="R17">
        <f t="shared" si="7"/>
        <v>-1.1872013898943656E-3</v>
      </c>
      <c r="W17">
        <f t="shared" si="8"/>
        <v>1.1532516942099669E-2</v>
      </c>
      <c r="X17">
        <f t="shared" si="9"/>
        <v>1.137378678336951E-2</v>
      </c>
      <c r="AA17">
        <f t="shared" si="10"/>
        <v>0</v>
      </c>
    </row>
    <row r="18" spans="1:27">
      <c r="A18" s="2">
        <v>45919.208333333328</v>
      </c>
      <c r="B18" s="1">
        <v>245.5</v>
      </c>
      <c r="C18" s="1">
        <v>255.24</v>
      </c>
      <c r="D18" s="1">
        <v>517.92999999999995</v>
      </c>
      <c r="E18" s="1">
        <v>426.07</v>
      </c>
      <c r="F18" s="1">
        <v>231.48</v>
      </c>
      <c r="G18" s="1">
        <v>176.67</v>
      </c>
      <c r="H18" s="1">
        <v>264.87</v>
      </c>
      <c r="I18" s="1">
        <v>344.94</v>
      </c>
      <c r="K18">
        <f t="shared" si="0"/>
        <v>4.3095723014256571E-2</v>
      </c>
      <c r="L18">
        <f t="shared" si="1"/>
        <v>-9.2461996552265502E-3</v>
      </c>
      <c r="M18">
        <f t="shared" si="2"/>
        <v>-6.7190546985111954E-3</v>
      </c>
      <c r="N18">
        <f t="shared" si="3"/>
        <v>1.910484192738271E-2</v>
      </c>
      <c r="O18">
        <f t="shared" si="4"/>
        <v>-1.6632106445481187E-2</v>
      </c>
      <c r="P18">
        <f t="shared" si="5"/>
        <v>3.9282277692873846E-2</v>
      </c>
      <c r="Q18">
        <f t="shared" si="6"/>
        <v>2.929739117302832E-2</v>
      </c>
      <c r="R18">
        <f t="shared" si="7"/>
        <v>-1.7829187684814674E-2</v>
      </c>
      <c r="W18">
        <f t="shared" si="8"/>
        <v>-9.2461996552265502E-3</v>
      </c>
      <c r="X18">
        <f t="shared" si="9"/>
        <v>-9.4049298139567087E-3</v>
      </c>
      <c r="AA18">
        <f t="shared" si="10"/>
        <v>-9.4049298139567087E-3</v>
      </c>
    </row>
    <row r="19" spans="1:27">
      <c r="A19" s="2">
        <v>45922.208333333328</v>
      </c>
      <c r="B19" s="1">
        <v>256.08</v>
      </c>
      <c r="C19" s="1">
        <v>252.88</v>
      </c>
      <c r="D19" s="1">
        <v>514.45000000000005</v>
      </c>
      <c r="E19" s="1">
        <v>434.21</v>
      </c>
      <c r="F19" s="1">
        <v>227.63</v>
      </c>
      <c r="G19" s="1">
        <v>183.61</v>
      </c>
      <c r="H19" s="1">
        <v>272.63</v>
      </c>
      <c r="I19" s="1">
        <v>338.79</v>
      </c>
      <c r="K19">
        <f t="shared" si="0"/>
        <v>-6.443298969072031E-3</v>
      </c>
      <c r="L19">
        <f t="shared" si="1"/>
        <v>-2.1354001898132857E-3</v>
      </c>
      <c r="M19">
        <f t="shared" si="2"/>
        <v>-1.0146758674312473E-2</v>
      </c>
      <c r="N19">
        <f t="shared" si="3"/>
        <v>-1.9253356670735244E-2</v>
      </c>
      <c r="O19">
        <f t="shared" si="4"/>
        <v>-3.0400210868514632E-2</v>
      </c>
      <c r="P19">
        <f t="shared" si="5"/>
        <v>-2.8211971025543292E-2</v>
      </c>
      <c r="Q19">
        <f t="shared" si="6"/>
        <v>3.6973187103400251E-2</v>
      </c>
      <c r="R19">
        <f t="shared" si="7"/>
        <v>4.4275214734779134E-4</v>
      </c>
      <c r="W19">
        <f t="shared" si="8"/>
        <v>-2.1354001898132857E-3</v>
      </c>
      <c r="X19">
        <f t="shared" si="9"/>
        <v>-2.2941303485434442E-3</v>
      </c>
      <c r="AA19">
        <f t="shared" si="10"/>
        <v>-2.2941303485434442E-3</v>
      </c>
    </row>
    <row r="20" spans="1:27">
      <c r="A20" s="2">
        <v>45923.208333333328</v>
      </c>
      <c r="B20" s="1">
        <v>254.43</v>
      </c>
      <c r="C20" s="1">
        <v>252.34</v>
      </c>
      <c r="D20" s="1">
        <v>509.23</v>
      </c>
      <c r="E20" s="1">
        <v>425.85</v>
      </c>
      <c r="F20" s="1">
        <v>220.71</v>
      </c>
      <c r="G20" s="1">
        <v>178.43</v>
      </c>
      <c r="H20" s="1">
        <v>282.70999999999998</v>
      </c>
      <c r="I20" s="1">
        <v>338.94</v>
      </c>
      <c r="K20">
        <f t="shared" si="0"/>
        <v>-8.3323507448020973E-3</v>
      </c>
      <c r="L20">
        <f t="shared" si="1"/>
        <v>-1.7872711421098475E-2</v>
      </c>
      <c r="M20">
        <f t="shared" si="2"/>
        <v>1.8066492547570423E-3</v>
      </c>
      <c r="N20">
        <f t="shared" si="3"/>
        <v>3.9779264999412867E-2</v>
      </c>
      <c r="O20">
        <f t="shared" si="4"/>
        <v>-2.2654161569480857E-3</v>
      </c>
      <c r="P20">
        <f t="shared" si="5"/>
        <v>-8.1824805245754861E-3</v>
      </c>
      <c r="Q20">
        <f t="shared" si="6"/>
        <v>-7.0743871812104508E-3</v>
      </c>
      <c r="R20">
        <f t="shared" si="7"/>
        <v>1.0916386381070176E-3</v>
      </c>
      <c r="W20">
        <f t="shared" si="8"/>
        <v>-1.7872711421098475E-2</v>
      </c>
      <c r="X20">
        <f t="shared" si="9"/>
        <v>-1.8031441579828635E-2</v>
      </c>
      <c r="AA20">
        <f t="shared" si="10"/>
        <v>-1.8031441579828635E-2</v>
      </c>
    </row>
    <row r="21" spans="1:27">
      <c r="A21" s="2">
        <v>45924.208333333328</v>
      </c>
      <c r="B21" s="1">
        <v>252.31</v>
      </c>
      <c r="C21" s="1">
        <v>247.83</v>
      </c>
      <c r="D21" s="1">
        <v>510.15</v>
      </c>
      <c r="E21" s="1">
        <v>442.79</v>
      </c>
      <c r="F21" s="1">
        <v>220.21</v>
      </c>
      <c r="G21" s="1">
        <v>176.97</v>
      </c>
      <c r="H21" s="1">
        <v>280.70999999999998</v>
      </c>
      <c r="I21" s="1">
        <v>339.31</v>
      </c>
      <c r="K21">
        <f t="shared" si="0"/>
        <v>1.807300542982837E-2</v>
      </c>
      <c r="L21">
        <f t="shared" si="1"/>
        <v>-5.0841302505750807E-3</v>
      </c>
      <c r="M21">
        <f t="shared" si="2"/>
        <v>-6.1158482799177349E-3</v>
      </c>
      <c r="N21">
        <f t="shared" si="3"/>
        <v>-4.3813094243320805E-2</v>
      </c>
      <c r="O21">
        <f t="shared" si="4"/>
        <v>-9.3547068707143799E-3</v>
      </c>
      <c r="P21">
        <f t="shared" si="5"/>
        <v>4.0684861840989406E-3</v>
      </c>
      <c r="Q21">
        <f t="shared" si="6"/>
        <v>-1.4427701186277453E-2</v>
      </c>
      <c r="R21">
        <f t="shared" si="7"/>
        <v>-9.4603754678611596E-3</v>
      </c>
      <c r="W21">
        <f t="shared" si="8"/>
        <v>-5.0841302505750807E-3</v>
      </c>
      <c r="X21">
        <f t="shared" si="9"/>
        <v>-5.2428604093052392E-3</v>
      </c>
      <c r="AA21">
        <f t="shared" si="10"/>
        <v>-5.2428604093052392E-3</v>
      </c>
    </row>
    <row r="22" spans="1:27">
      <c r="A22" s="2">
        <v>45925.208333333328</v>
      </c>
      <c r="B22" s="1">
        <v>256.87</v>
      </c>
      <c r="C22" s="1">
        <v>246.57</v>
      </c>
      <c r="D22" s="1">
        <v>507.03</v>
      </c>
      <c r="E22" s="1">
        <v>423.39</v>
      </c>
      <c r="F22" s="1">
        <v>218.15</v>
      </c>
      <c r="G22" s="1">
        <v>177.69</v>
      </c>
      <c r="H22" s="1">
        <v>276.66000000000003</v>
      </c>
      <c r="I22" s="1">
        <v>336.1</v>
      </c>
      <c r="K22">
        <f t="shared" si="0"/>
        <v>-5.4891579398138601E-3</v>
      </c>
      <c r="L22">
        <f t="shared" si="1"/>
        <v>2.4739424909763219E-3</v>
      </c>
      <c r="M22">
        <f t="shared" si="2"/>
        <v>8.7371555923712041E-3</v>
      </c>
      <c r="N22">
        <f t="shared" si="3"/>
        <v>4.0175724509317723E-2</v>
      </c>
      <c r="O22">
        <f t="shared" si="4"/>
        <v>7.4719229887691974E-3</v>
      </c>
      <c r="P22">
        <f t="shared" si="5"/>
        <v>2.8138893578704138E-3</v>
      </c>
      <c r="Q22">
        <f t="shared" si="6"/>
        <v>-1.1927998265018447E-2</v>
      </c>
      <c r="R22">
        <f t="shared" si="7"/>
        <v>-4.6712288009522762E-3</v>
      </c>
      <c r="W22">
        <f t="shared" si="8"/>
        <v>2.4739424909763219E-3</v>
      </c>
      <c r="X22">
        <f t="shared" si="9"/>
        <v>2.3152123322461634E-3</v>
      </c>
      <c r="AA22">
        <f t="shared" si="10"/>
        <v>0</v>
      </c>
    </row>
    <row r="23" spans="1:27">
      <c r="A23" s="2">
        <v>45926.208333333328</v>
      </c>
      <c r="B23" s="1">
        <v>255.46</v>
      </c>
      <c r="C23" s="1">
        <v>247.18</v>
      </c>
      <c r="D23" s="1">
        <v>511.46</v>
      </c>
      <c r="E23" s="1">
        <v>440.4</v>
      </c>
      <c r="F23" s="1">
        <v>219.78</v>
      </c>
      <c r="G23" s="1">
        <v>178.19</v>
      </c>
      <c r="H23" s="1">
        <v>273.36</v>
      </c>
      <c r="I23" s="1">
        <v>334.53</v>
      </c>
      <c r="K23">
        <f t="shared" si="0"/>
        <v>-4.0319423784546116E-3</v>
      </c>
      <c r="L23">
        <f t="shared" si="1"/>
        <v>-1.1408690023464674E-2</v>
      </c>
      <c r="M23">
        <f t="shared" si="2"/>
        <v>6.1392875298167393E-3</v>
      </c>
      <c r="N23">
        <f t="shared" si="3"/>
        <v>6.380563124432248E-3</v>
      </c>
      <c r="O23">
        <f t="shared" si="4"/>
        <v>1.0874510874510745E-2</v>
      </c>
      <c r="P23">
        <f t="shared" si="5"/>
        <v>2.0539873169089118E-2</v>
      </c>
      <c r="Q23">
        <f t="shared" si="6"/>
        <v>-4.7556335967224861E-4</v>
      </c>
      <c r="R23">
        <f t="shared" si="7"/>
        <v>-1.9818850327324888E-2</v>
      </c>
      <c r="W23">
        <f t="shared" si="8"/>
        <v>-1.1408690023464674E-2</v>
      </c>
      <c r="X23">
        <f t="shared" si="9"/>
        <v>-1.1567420182194832E-2</v>
      </c>
      <c r="AA23">
        <f t="shared" si="10"/>
        <v>-1.1567420182194832E-2</v>
      </c>
    </row>
    <row r="24" spans="1:27">
      <c r="A24" s="2">
        <v>45929.208333333328</v>
      </c>
      <c r="B24" s="1">
        <v>254.43</v>
      </c>
      <c r="C24" s="1">
        <v>244.36</v>
      </c>
      <c r="D24" s="1">
        <v>514.6</v>
      </c>
      <c r="E24" s="1">
        <v>443.21</v>
      </c>
      <c r="F24" s="1">
        <v>222.17</v>
      </c>
      <c r="G24" s="1">
        <v>181.85</v>
      </c>
      <c r="H24" s="1">
        <v>273.23</v>
      </c>
      <c r="I24" s="1">
        <v>327.9</v>
      </c>
      <c r="K24">
        <f t="shared" si="0"/>
        <v>7.8607082498138858E-4</v>
      </c>
      <c r="L24">
        <f t="shared" si="1"/>
        <v>-3.3147814699623357E-3</v>
      </c>
      <c r="M24">
        <f t="shared" si="2"/>
        <v>6.5099106101826898E-3</v>
      </c>
      <c r="N24">
        <f t="shared" si="3"/>
        <v>3.4069628392863205E-3</v>
      </c>
      <c r="O24">
        <f t="shared" si="4"/>
        <v>-1.1702750146284302E-2</v>
      </c>
      <c r="P24">
        <f t="shared" si="5"/>
        <v>2.6010448171570166E-2</v>
      </c>
      <c r="Q24">
        <f t="shared" si="6"/>
        <v>2.2179116495260498E-2</v>
      </c>
      <c r="R24">
        <f t="shared" si="7"/>
        <v>6.12991765782267E-3</v>
      </c>
      <c r="W24">
        <f t="shared" si="8"/>
        <v>-3.3147814699623357E-3</v>
      </c>
      <c r="X24">
        <f t="shared" si="9"/>
        <v>-3.4735116286924942E-3</v>
      </c>
      <c r="AA24">
        <f t="shared" si="10"/>
        <v>-3.4735116286924942E-3</v>
      </c>
    </row>
    <row r="25" spans="1:27">
      <c r="A25" s="2">
        <v>45930.208333333328</v>
      </c>
      <c r="B25" s="1">
        <v>254.63</v>
      </c>
      <c r="C25" s="1">
        <v>243.55</v>
      </c>
      <c r="D25" s="1">
        <v>517.95000000000005</v>
      </c>
      <c r="E25" s="1">
        <v>444.72</v>
      </c>
      <c r="F25" s="1">
        <v>219.57</v>
      </c>
      <c r="G25" s="1">
        <v>186.58</v>
      </c>
      <c r="H25" s="1">
        <v>279.29000000000002</v>
      </c>
      <c r="I25" s="1">
        <v>329.91</v>
      </c>
      <c r="K25">
        <f t="shared" si="0"/>
        <v>3.2203589522050713E-3</v>
      </c>
      <c r="L25">
        <f t="shared" si="1"/>
        <v>8.1708068158488079E-3</v>
      </c>
      <c r="M25">
        <f t="shared" si="2"/>
        <v>3.3980113910609955E-3</v>
      </c>
      <c r="N25">
        <f t="shared" si="3"/>
        <v>3.3144450440726558E-2</v>
      </c>
      <c r="O25">
        <f t="shared" si="4"/>
        <v>4.8276176162500573E-3</v>
      </c>
      <c r="P25">
        <f t="shared" si="5"/>
        <v>3.5373566298637638E-3</v>
      </c>
      <c r="Q25">
        <f t="shared" si="6"/>
        <v>3.2869060832826147E-2</v>
      </c>
      <c r="R25">
        <f t="shared" si="7"/>
        <v>1.0548331363098962E-2</v>
      </c>
      <c r="W25">
        <f t="shared" si="8"/>
        <v>8.1708068158488079E-3</v>
      </c>
      <c r="X25">
        <f t="shared" si="9"/>
        <v>8.0120766571186493E-3</v>
      </c>
      <c r="AA25">
        <f t="shared" si="10"/>
        <v>0</v>
      </c>
    </row>
    <row r="26" spans="1:27">
      <c r="A26" s="2">
        <v>45931.208333333328</v>
      </c>
      <c r="B26" s="1">
        <v>255.45</v>
      </c>
      <c r="C26" s="1">
        <v>245.54</v>
      </c>
      <c r="D26" s="1">
        <v>519.71</v>
      </c>
      <c r="E26" s="1">
        <v>459.46</v>
      </c>
      <c r="F26" s="1">
        <v>220.63</v>
      </c>
      <c r="G26" s="1">
        <v>187.24</v>
      </c>
      <c r="H26" s="1">
        <v>288.47000000000003</v>
      </c>
      <c r="I26" s="1">
        <v>333.39</v>
      </c>
      <c r="K26">
        <f t="shared" si="0"/>
        <v>6.5766294773927925E-3</v>
      </c>
      <c r="L26">
        <f t="shared" si="1"/>
        <v>3.6246640058645863E-3</v>
      </c>
      <c r="M26">
        <f t="shared" si="2"/>
        <v>-7.6388755267361441E-3</v>
      </c>
      <c r="N26">
        <f t="shared" si="3"/>
        <v>-5.1059939929482434E-2</v>
      </c>
      <c r="O26">
        <f t="shared" si="4"/>
        <v>8.0678058287630972E-3</v>
      </c>
      <c r="P26">
        <f t="shared" si="5"/>
        <v>8.8122196111941609E-3</v>
      </c>
      <c r="Q26">
        <f t="shared" si="6"/>
        <v>-1.2479633930738698E-3</v>
      </c>
      <c r="R26">
        <f t="shared" si="7"/>
        <v>1.4367557515222451E-2</v>
      </c>
      <c r="W26">
        <f t="shared" si="8"/>
        <v>3.6246640058645863E-3</v>
      </c>
      <c r="X26">
        <f t="shared" si="9"/>
        <v>3.4659338471344277E-3</v>
      </c>
      <c r="AA26">
        <f t="shared" si="10"/>
        <v>0</v>
      </c>
    </row>
    <row r="27" spans="1:27">
      <c r="A27" s="2">
        <v>45932.208333333328</v>
      </c>
      <c r="B27" s="1">
        <v>257.13</v>
      </c>
      <c r="C27" s="1">
        <v>246.43</v>
      </c>
      <c r="D27" s="1">
        <v>515.74</v>
      </c>
      <c r="E27" s="1">
        <v>436</v>
      </c>
      <c r="F27" s="1">
        <v>222.41</v>
      </c>
      <c r="G27" s="1">
        <v>188.89</v>
      </c>
      <c r="H27" s="1">
        <v>288.11</v>
      </c>
      <c r="I27" s="1">
        <v>338.18</v>
      </c>
      <c r="K27">
        <f t="shared" si="0"/>
        <v>3.4612841753198786E-3</v>
      </c>
      <c r="L27">
        <f t="shared" si="1"/>
        <v>8.1158949803095126E-5</v>
      </c>
      <c r="M27">
        <f t="shared" si="2"/>
        <v>3.1217280024820049E-3</v>
      </c>
      <c r="N27">
        <f t="shared" si="3"/>
        <v>-1.4151376146789074E-2</v>
      </c>
      <c r="O27">
        <f t="shared" si="4"/>
        <v>-1.3038982060159188E-2</v>
      </c>
      <c r="P27">
        <f t="shared" si="5"/>
        <v>-6.72348986182425E-3</v>
      </c>
      <c r="Q27">
        <f t="shared" si="6"/>
        <v>1.4161257852903342E-2</v>
      </c>
      <c r="R27">
        <f t="shared" si="7"/>
        <v>5.6183097758588652E-4</v>
      </c>
      <c r="W27">
        <f t="shared" si="8"/>
        <v>8.1158949803095126E-5</v>
      </c>
      <c r="X27">
        <f t="shared" si="9"/>
        <v>-7.7571208927063604E-5</v>
      </c>
      <c r="AA27">
        <f t="shared" si="10"/>
        <v>-7.7571208927063604E-5</v>
      </c>
    </row>
    <row r="28" spans="1:27">
      <c r="A28" s="2">
        <v>45933.208333333328</v>
      </c>
      <c r="B28" s="1">
        <v>258.02</v>
      </c>
      <c r="C28" s="1">
        <v>246.45</v>
      </c>
      <c r="D28" s="1">
        <v>517.35</v>
      </c>
      <c r="E28" s="1">
        <v>429.83</v>
      </c>
      <c r="F28" s="1">
        <v>219.51</v>
      </c>
      <c r="G28" s="1">
        <v>187.62</v>
      </c>
      <c r="H28" s="1">
        <v>292.19</v>
      </c>
      <c r="I28" s="1">
        <v>338.37</v>
      </c>
      <c r="K28">
        <f t="shared" si="0"/>
        <v>-5.1546391752577136E-3</v>
      </c>
      <c r="L28">
        <f t="shared" si="1"/>
        <v>2.0531547981335052E-2</v>
      </c>
      <c r="M28">
        <f t="shared" si="2"/>
        <v>2.1687445636416447E-2</v>
      </c>
      <c r="N28">
        <f t="shared" si="3"/>
        <v>5.4486657515762094E-2</v>
      </c>
      <c r="O28">
        <f t="shared" si="4"/>
        <v>6.3322855450778093E-3</v>
      </c>
      <c r="P28">
        <f t="shared" si="5"/>
        <v>-1.1086238140923244E-2</v>
      </c>
      <c r="Q28">
        <f t="shared" si="6"/>
        <v>3.494301653033971E-2</v>
      </c>
      <c r="R28">
        <f t="shared" si="7"/>
        <v>-8.5113928539763961E-3</v>
      </c>
      <c r="W28">
        <f t="shared" si="8"/>
        <v>2.0531547981335052E-2</v>
      </c>
      <c r="X28">
        <f t="shared" si="9"/>
        <v>2.0372817822604892E-2</v>
      </c>
      <c r="AA28">
        <f t="shared" si="10"/>
        <v>0</v>
      </c>
    </row>
    <row r="29" spans="1:27">
      <c r="A29" s="2">
        <v>45936.208333333328</v>
      </c>
      <c r="B29" s="1">
        <v>256.69</v>
      </c>
      <c r="C29" s="1">
        <v>251.51</v>
      </c>
      <c r="D29" s="1">
        <v>528.57000000000005</v>
      </c>
      <c r="E29" s="1">
        <v>453.25</v>
      </c>
      <c r="F29" s="1">
        <v>220.9</v>
      </c>
      <c r="G29" s="1">
        <v>185.54</v>
      </c>
      <c r="H29" s="1">
        <v>302.39999999999998</v>
      </c>
      <c r="I29" s="1">
        <v>335.49</v>
      </c>
      <c r="K29">
        <f t="shared" si="0"/>
        <v>-8.1810744477761599E-4</v>
      </c>
      <c r="L29">
        <f t="shared" si="1"/>
        <v>-1.7414814520297361E-2</v>
      </c>
      <c r="M29">
        <f t="shared" si="2"/>
        <v>-8.6838072535331268E-3</v>
      </c>
      <c r="N29">
        <f t="shared" si="3"/>
        <v>-4.4478764478764532E-2</v>
      </c>
      <c r="O29">
        <f t="shared" si="4"/>
        <v>3.9837030330465151E-3</v>
      </c>
      <c r="P29">
        <f t="shared" si="5"/>
        <v>-2.6948366928963852E-3</v>
      </c>
      <c r="Q29">
        <f t="shared" si="6"/>
        <v>-2.7678571428571441E-2</v>
      </c>
      <c r="R29">
        <f t="shared" si="7"/>
        <v>2.7422575933708782E-3</v>
      </c>
      <c r="W29">
        <f t="shared" si="8"/>
        <v>-1.7414814520297361E-2</v>
      </c>
      <c r="X29">
        <f t="shared" si="9"/>
        <v>-1.7573544679027522E-2</v>
      </c>
      <c r="AA29">
        <f t="shared" si="10"/>
        <v>-1.7573544679027522E-2</v>
      </c>
    </row>
    <row r="30" spans="1:27">
      <c r="A30" s="2">
        <v>45937.208333333328</v>
      </c>
      <c r="B30" s="1">
        <v>256.48</v>
      </c>
      <c r="C30" s="1">
        <v>247.13</v>
      </c>
      <c r="D30" s="1">
        <v>523.98</v>
      </c>
      <c r="E30" s="1">
        <v>433.09</v>
      </c>
      <c r="F30" s="1">
        <v>221.78</v>
      </c>
      <c r="G30" s="1">
        <v>185.04</v>
      </c>
      <c r="H30" s="1">
        <v>294.02999999999997</v>
      </c>
      <c r="I30" s="1">
        <v>336.41</v>
      </c>
      <c r="K30">
        <f t="shared" si="0"/>
        <v>6.1603243917653927E-3</v>
      </c>
      <c r="L30">
        <f t="shared" si="1"/>
        <v>-6.757576983773661E-3</v>
      </c>
      <c r="M30">
        <f t="shared" si="2"/>
        <v>1.6603687163632141E-3</v>
      </c>
      <c r="N30">
        <f t="shared" si="3"/>
        <v>1.2930337805075132E-2</v>
      </c>
      <c r="O30">
        <f t="shared" si="4"/>
        <v>1.5510866624582897E-2</v>
      </c>
      <c r="P30">
        <f t="shared" si="5"/>
        <v>2.1995244271509007E-2</v>
      </c>
      <c r="Q30">
        <f t="shared" si="6"/>
        <v>3.5676631636227585E-2</v>
      </c>
      <c r="R30">
        <f t="shared" si="7"/>
        <v>2.7020599863261996E-2</v>
      </c>
      <c r="W30">
        <f t="shared" si="8"/>
        <v>-6.757576983773661E-3</v>
      </c>
      <c r="X30">
        <f t="shared" si="9"/>
        <v>-6.9163071425038195E-3</v>
      </c>
      <c r="AA30">
        <f t="shared" si="10"/>
        <v>-6.9163071425038195E-3</v>
      </c>
    </row>
    <row r="31" spans="1:27">
      <c r="A31" s="2">
        <v>45938.208333333328</v>
      </c>
      <c r="B31" s="1">
        <v>258.06</v>
      </c>
      <c r="C31" s="1">
        <v>245.46</v>
      </c>
      <c r="D31" s="1">
        <v>524.85</v>
      </c>
      <c r="E31" s="1">
        <v>438.69</v>
      </c>
      <c r="F31" s="1">
        <v>225.22</v>
      </c>
      <c r="G31" s="1">
        <v>189.11</v>
      </c>
      <c r="H31" s="1">
        <v>304.52</v>
      </c>
      <c r="I31" s="1">
        <v>345.5</v>
      </c>
      <c r="K31">
        <f t="shared" si="0"/>
        <v>-1.5577772611020779E-2</v>
      </c>
      <c r="L31">
        <f t="shared" si="1"/>
        <v>-1.3240446508596126E-2</v>
      </c>
      <c r="M31">
        <f t="shared" si="2"/>
        <v>-4.6680003810612991E-3</v>
      </c>
      <c r="N31">
        <f t="shared" si="3"/>
        <v>-7.1804691239827356E-3</v>
      </c>
      <c r="O31">
        <f t="shared" si="4"/>
        <v>1.1189059586182548E-2</v>
      </c>
      <c r="P31">
        <f t="shared" si="5"/>
        <v>1.8296229707577494E-2</v>
      </c>
      <c r="Q31">
        <f t="shared" si="6"/>
        <v>-1.5237094443714683E-2</v>
      </c>
      <c r="R31">
        <f t="shared" si="7"/>
        <v>-1.3892908827786155E-3</v>
      </c>
      <c r="W31">
        <f t="shared" si="8"/>
        <v>-1.3240446508596126E-2</v>
      </c>
      <c r="X31">
        <f t="shared" si="9"/>
        <v>-1.3399176667326285E-2</v>
      </c>
      <c r="AA31">
        <f t="shared" si="10"/>
        <v>-1.3399176667326285E-2</v>
      </c>
    </row>
    <row r="32" spans="1:27">
      <c r="A32" s="2">
        <v>45939.208333333328</v>
      </c>
      <c r="B32" s="1">
        <v>254.04</v>
      </c>
      <c r="C32" s="1">
        <v>242.21</v>
      </c>
      <c r="D32" s="1">
        <v>522.4</v>
      </c>
      <c r="E32" s="1">
        <v>435.54</v>
      </c>
      <c r="F32" s="1">
        <v>227.74</v>
      </c>
      <c r="G32" s="1">
        <v>192.57</v>
      </c>
      <c r="H32" s="1">
        <v>299.88</v>
      </c>
      <c r="I32" s="1">
        <v>345.02</v>
      </c>
      <c r="K32">
        <f t="shared" si="0"/>
        <v>-3.4522122500393548E-2</v>
      </c>
      <c r="L32">
        <f t="shared" si="1"/>
        <v>-1.9487221832294233E-2</v>
      </c>
      <c r="M32">
        <f t="shared" si="2"/>
        <v>-2.1898928024502329E-2</v>
      </c>
      <c r="N32">
        <f t="shared" si="3"/>
        <v>-5.06268081002893E-2</v>
      </c>
      <c r="O32">
        <f t="shared" si="4"/>
        <v>-4.9925353473258993E-2</v>
      </c>
      <c r="P32">
        <f t="shared" si="5"/>
        <v>-4.8865347665783876E-2</v>
      </c>
      <c r="Q32">
        <f t="shared" si="6"/>
        <v>-6.4092303588101807E-2</v>
      </c>
      <c r="R32">
        <f t="shared" si="7"/>
        <v>-5.9098023302996849E-2</v>
      </c>
      <c r="W32">
        <f t="shared" si="8"/>
        <v>-1.9487221832294233E-2</v>
      </c>
      <c r="X32">
        <f t="shared" si="9"/>
        <v>-1.9645951991024393E-2</v>
      </c>
      <c r="AA32">
        <f t="shared" si="10"/>
        <v>-1.9645951991024393E-2</v>
      </c>
    </row>
    <row r="33" spans="1:27">
      <c r="A33" s="2">
        <v>45940.208333333328</v>
      </c>
      <c r="B33" s="1">
        <v>245.27</v>
      </c>
      <c r="C33" s="1">
        <v>237.49</v>
      </c>
      <c r="D33" s="1">
        <v>510.96</v>
      </c>
      <c r="E33" s="1">
        <v>413.49</v>
      </c>
      <c r="F33" s="1">
        <v>216.37</v>
      </c>
      <c r="G33" s="1">
        <v>183.16</v>
      </c>
      <c r="H33" s="1">
        <v>280.66000000000003</v>
      </c>
      <c r="I33" s="1">
        <v>324.63</v>
      </c>
      <c r="K33">
        <f t="shared" si="0"/>
        <v>9.7443633546703268E-3</v>
      </c>
      <c r="L33">
        <f t="shared" si="1"/>
        <v>3.0106530801296882E-2</v>
      </c>
      <c r="M33">
        <f t="shared" si="2"/>
        <v>6.0474401127288413E-3</v>
      </c>
      <c r="N33">
        <f t="shared" si="3"/>
        <v>5.4197199448595912E-2</v>
      </c>
      <c r="O33">
        <f t="shared" si="4"/>
        <v>1.7100337385034914E-2</v>
      </c>
      <c r="P33">
        <f t="shared" si="5"/>
        <v>2.8172089975977199E-2</v>
      </c>
      <c r="Q33">
        <f t="shared" si="6"/>
        <v>7.9206156915841097E-2</v>
      </c>
      <c r="R33">
        <f t="shared" si="7"/>
        <v>9.8789390998983428E-2</v>
      </c>
      <c r="W33">
        <f t="shared" si="8"/>
        <v>3.0106530801296882E-2</v>
      </c>
      <c r="X33">
        <f t="shared" si="9"/>
        <v>2.9947800642566722E-2</v>
      </c>
      <c r="AA33">
        <f t="shared" si="10"/>
        <v>0</v>
      </c>
    </row>
    <row r="34" spans="1:27">
      <c r="A34" s="2">
        <v>45943.208333333328</v>
      </c>
      <c r="B34" s="1">
        <v>247.66</v>
      </c>
      <c r="C34" s="1">
        <v>244.64</v>
      </c>
      <c r="D34" s="1">
        <v>514.04999999999995</v>
      </c>
      <c r="E34" s="1">
        <v>435.9</v>
      </c>
      <c r="F34" s="1">
        <v>220.07</v>
      </c>
      <c r="G34" s="1">
        <v>188.32</v>
      </c>
      <c r="H34" s="1">
        <v>302.89</v>
      </c>
      <c r="I34" s="1">
        <v>356.7</v>
      </c>
      <c r="K34">
        <f t="shared" si="0"/>
        <v>4.4415731244451528E-4</v>
      </c>
      <c r="L34">
        <f t="shared" si="1"/>
        <v>6.3358404185742678E-3</v>
      </c>
      <c r="M34">
        <f t="shared" si="2"/>
        <v>-9.3376130726563478E-4</v>
      </c>
      <c r="N34">
        <f t="shared" si="3"/>
        <v>-1.5278733654507826E-2</v>
      </c>
      <c r="O34">
        <f t="shared" si="4"/>
        <v>-1.672195210614813E-2</v>
      </c>
      <c r="P34">
        <f t="shared" si="5"/>
        <v>-4.4020815632965116E-2</v>
      </c>
      <c r="Q34">
        <f t="shared" si="6"/>
        <v>-2.2945623823830363E-2</v>
      </c>
      <c r="R34">
        <f t="shared" si="7"/>
        <v>-3.5239697224558442E-2</v>
      </c>
      <c r="W34">
        <f t="shared" si="8"/>
        <v>6.3358404185742678E-3</v>
      </c>
      <c r="X34">
        <f t="shared" si="9"/>
        <v>6.1771102598441093E-3</v>
      </c>
      <c r="AA34">
        <f t="shared" si="10"/>
        <v>0</v>
      </c>
    </row>
    <row r="35" spans="1:27">
      <c r="A35" s="2">
        <v>45944.208333333328</v>
      </c>
      <c r="B35" s="1">
        <v>247.77</v>
      </c>
      <c r="C35" s="1">
        <v>246.19</v>
      </c>
      <c r="D35" s="1">
        <v>513.57000000000005</v>
      </c>
      <c r="E35" s="1">
        <v>429.24</v>
      </c>
      <c r="F35" s="1">
        <v>216.39</v>
      </c>
      <c r="G35" s="1">
        <v>180.03</v>
      </c>
      <c r="H35" s="1">
        <v>295.94</v>
      </c>
      <c r="I35" s="1">
        <v>344.13</v>
      </c>
      <c r="K35">
        <f t="shared" si="0"/>
        <v>6.336521774226167E-3</v>
      </c>
      <c r="L35">
        <f t="shared" si="1"/>
        <v>2.2421706811811992E-2</v>
      </c>
      <c r="M35">
        <f t="shared" si="2"/>
        <v>-2.7260159277231466E-4</v>
      </c>
      <c r="N35">
        <f t="shared" si="3"/>
        <v>1.3768521107072829E-2</v>
      </c>
      <c r="O35">
        <f t="shared" si="4"/>
        <v>-3.7894542261657227E-3</v>
      </c>
      <c r="P35">
        <f t="shared" si="5"/>
        <v>-1.1109259567849694E-3</v>
      </c>
      <c r="Q35">
        <f t="shared" si="6"/>
        <v>2.9634385348381365E-2</v>
      </c>
      <c r="R35">
        <f t="shared" si="7"/>
        <v>2.0922325865225355E-2</v>
      </c>
      <c r="W35">
        <f t="shared" si="8"/>
        <v>2.2421706811811992E-2</v>
      </c>
      <c r="X35">
        <f t="shared" si="9"/>
        <v>2.2262976653081832E-2</v>
      </c>
      <c r="AA35">
        <f t="shared" si="10"/>
        <v>0</v>
      </c>
    </row>
    <row r="36" spans="1:27">
      <c r="A36" s="2">
        <v>45945.208333333328</v>
      </c>
      <c r="B36" s="1">
        <v>249.34</v>
      </c>
      <c r="C36" s="1">
        <v>251.71</v>
      </c>
      <c r="D36" s="1">
        <v>513.42999999999995</v>
      </c>
      <c r="E36" s="1">
        <v>435.15</v>
      </c>
      <c r="F36" s="1">
        <v>215.57</v>
      </c>
      <c r="G36" s="1">
        <v>179.83</v>
      </c>
      <c r="H36" s="1">
        <v>304.70999999999998</v>
      </c>
      <c r="I36" s="1">
        <v>351.33</v>
      </c>
      <c r="K36">
        <f t="shared" si="0"/>
        <v>-7.5800112296463551E-3</v>
      </c>
      <c r="L36">
        <f t="shared" si="1"/>
        <v>6.75380398077019E-4</v>
      </c>
      <c r="M36">
        <f t="shared" si="2"/>
        <v>-3.5447870206258836E-3</v>
      </c>
      <c r="N36">
        <f t="shared" si="3"/>
        <v>-1.470757210157414E-2</v>
      </c>
      <c r="O36">
        <f t="shared" si="4"/>
        <v>-5.1027508465927296E-3</v>
      </c>
      <c r="P36">
        <f t="shared" si="5"/>
        <v>1.1010398709892621E-2</v>
      </c>
      <c r="Q36">
        <f t="shared" si="6"/>
        <v>-1.5982409504118666E-2</v>
      </c>
      <c r="R36">
        <f t="shared" si="7"/>
        <v>8.0266416189906931E-3</v>
      </c>
      <c r="W36">
        <f t="shared" si="8"/>
        <v>6.75380398077019E-4</v>
      </c>
      <c r="X36">
        <f t="shared" si="9"/>
        <v>5.1665023934686027E-4</v>
      </c>
      <c r="AA36">
        <f t="shared" si="10"/>
        <v>0</v>
      </c>
    </row>
    <row r="37" spans="1:27">
      <c r="A37" s="2">
        <v>45946.208333333328</v>
      </c>
      <c r="B37" s="1">
        <v>247.45</v>
      </c>
      <c r="C37" s="1">
        <v>251.88</v>
      </c>
      <c r="D37" s="1">
        <v>511.61</v>
      </c>
      <c r="E37" s="1">
        <v>428.75</v>
      </c>
      <c r="F37" s="1">
        <v>214.47</v>
      </c>
      <c r="G37" s="1">
        <v>181.81</v>
      </c>
      <c r="H37" s="1">
        <v>299.83999999999997</v>
      </c>
      <c r="I37" s="1">
        <v>354.15</v>
      </c>
      <c r="K37">
        <f t="shared" si="0"/>
        <v>1.9559506971105201E-2</v>
      </c>
      <c r="L37">
        <f t="shared" si="1"/>
        <v>7.5829760203272034E-3</v>
      </c>
      <c r="M37">
        <f t="shared" si="2"/>
        <v>3.8505893160807325E-3</v>
      </c>
      <c r="N37">
        <f t="shared" si="3"/>
        <v>2.4629737609329405E-2</v>
      </c>
      <c r="O37">
        <f t="shared" si="4"/>
        <v>-6.6675991980230664E-3</v>
      </c>
      <c r="P37">
        <f t="shared" si="5"/>
        <v>7.7553489907045137E-3</v>
      </c>
      <c r="Q37">
        <f t="shared" si="6"/>
        <v>-1.5875133404482322E-2</v>
      </c>
      <c r="R37">
        <f t="shared" si="7"/>
        <v>-1.3610052237752357E-2</v>
      </c>
      <c r="W37">
        <f t="shared" si="8"/>
        <v>7.5829760203272034E-3</v>
      </c>
      <c r="X37">
        <f t="shared" si="9"/>
        <v>7.4242458615970449E-3</v>
      </c>
      <c r="AA37">
        <f t="shared" si="10"/>
        <v>0</v>
      </c>
    </row>
    <row r="38" spans="1:27">
      <c r="A38" s="2">
        <v>45947.208333333328</v>
      </c>
      <c r="B38" s="1">
        <v>252.29</v>
      </c>
      <c r="C38" s="1">
        <v>253.79</v>
      </c>
      <c r="D38" s="1">
        <v>513.58000000000004</v>
      </c>
      <c r="E38" s="1">
        <v>439.31</v>
      </c>
      <c r="F38" s="1">
        <v>213.04</v>
      </c>
      <c r="G38" s="1">
        <v>183.22</v>
      </c>
      <c r="H38" s="1">
        <v>295.08</v>
      </c>
      <c r="I38" s="1">
        <v>349.33</v>
      </c>
      <c r="K38">
        <f t="shared" si="0"/>
        <v>3.943874113123802E-2</v>
      </c>
      <c r="L38">
        <f t="shared" si="1"/>
        <v>1.2727057803695985E-2</v>
      </c>
      <c r="M38">
        <f t="shared" si="2"/>
        <v>6.2502433895399445E-3</v>
      </c>
      <c r="N38">
        <f t="shared" si="3"/>
        <v>1.8483530991782571E-2</v>
      </c>
      <c r="O38">
        <f t="shared" si="4"/>
        <v>1.6147202403304473E-2</v>
      </c>
      <c r="P38">
        <f t="shared" si="5"/>
        <v>-3.1655932758433147E-3</v>
      </c>
      <c r="Q38">
        <f t="shared" si="6"/>
        <v>8.8789480818760591E-3</v>
      </c>
      <c r="R38">
        <f t="shared" si="7"/>
        <v>-2.5763604614537083E-4</v>
      </c>
      <c r="W38">
        <f t="shared" si="8"/>
        <v>1.2727057803695985E-2</v>
      </c>
      <c r="X38">
        <f t="shared" si="9"/>
        <v>1.2568327644965826E-2</v>
      </c>
      <c r="AA38">
        <f t="shared" si="10"/>
        <v>0</v>
      </c>
    </row>
    <row r="39" spans="1:27">
      <c r="A39" s="2">
        <v>45950.208333333328</v>
      </c>
      <c r="B39" s="1">
        <v>262.24</v>
      </c>
      <c r="C39" s="1">
        <v>257.02</v>
      </c>
      <c r="D39" s="1">
        <v>516.79</v>
      </c>
      <c r="E39" s="1">
        <v>447.43</v>
      </c>
      <c r="F39" s="1">
        <v>216.48</v>
      </c>
      <c r="G39" s="1">
        <v>182.64</v>
      </c>
      <c r="H39" s="1">
        <v>297.7</v>
      </c>
      <c r="I39" s="1">
        <v>349.24</v>
      </c>
      <c r="K39">
        <f t="shared" si="0"/>
        <v>2.0210494203782847E-3</v>
      </c>
      <c r="L39">
        <f t="shared" si="1"/>
        <v>-2.2099447513812098E-2</v>
      </c>
      <c r="M39">
        <f t="shared" si="2"/>
        <v>1.6834691073743802E-3</v>
      </c>
      <c r="N39">
        <f t="shared" si="3"/>
        <v>-1.0794984690342568E-2</v>
      </c>
      <c r="O39">
        <f t="shared" si="4"/>
        <v>2.5637472283813745E-2</v>
      </c>
      <c r="P39">
        <f t="shared" si="5"/>
        <v>-8.1033727551467205E-3</v>
      </c>
      <c r="Q39">
        <f t="shared" si="6"/>
        <v>-1.071548538797451E-2</v>
      </c>
      <c r="R39">
        <f t="shared" si="7"/>
        <v>-1.8840911693963958E-2</v>
      </c>
      <c r="W39">
        <f t="shared" si="8"/>
        <v>-2.2099447513812098E-2</v>
      </c>
      <c r="X39">
        <f t="shared" si="9"/>
        <v>-2.2258177672542259E-2</v>
      </c>
      <c r="AA39">
        <f t="shared" si="10"/>
        <v>-2.2258177672542259E-2</v>
      </c>
    </row>
    <row r="40" spans="1:27">
      <c r="A40" s="2">
        <v>45951.208333333328</v>
      </c>
      <c r="B40" s="1">
        <v>262.77</v>
      </c>
      <c r="C40" s="1">
        <v>251.34</v>
      </c>
      <c r="D40" s="1">
        <v>517.66</v>
      </c>
      <c r="E40" s="1">
        <v>442.6</v>
      </c>
      <c r="F40" s="1">
        <v>222.03</v>
      </c>
      <c r="G40" s="1">
        <v>181.16</v>
      </c>
      <c r="H40" s="1">
        <v>294.51</v>
      </c>
      <c r="I40" s="1">
        <v>342.66</v>
      </c>
      <c r="K40">
        <f t="shared" si="0"/>
        <v>-1.6440232903299434E-2</v>
      </c>
      <c r="L40">
        <f t="shared" si="1"/>
        <v>4.7346224238082879E-3</v>
      </c>
      <c r="M40">
        <f t="shared" si="2"/>
        <v>5.563497276204421E-3</v>
      </c>
      <c r="N40">
        <f t="shared" si="3"/>
        <v>-8.2015363759602167E-3</v>
      </c>
      <c r="O40">
        <f t="shared" si="4"/>
        <v>-1.8375895149304156E-2</v>
      </c>
      <c r="P40">
        <f t="shared" si="5"/>
        <v>-4.8575844557297021E-3</v>
      </c>
      <c r="Q40">
        <f t="shared" si="6"/>
        <v>-1.9116498590879716E-2</v>
      </c>
      <c r="R40">
        <f t="shared" si="7"/>
        <v>-6.8872935271114821E-3</v>
      </c>
      <c r="W40">
        <f t="shared" si="8"/>
        <v>4.7346224238082879E-3</v>
      </c>
      <c r="X40">
        <f t="shared" si="9"/>
        <v>4.5758922650781294E-3</v>
      </c>
      <c r="AA40">
        <f t="shared" si="10"/>
        <v>0</v>
      </c>
    </row>
    <row r="41" spans="1:27">
      <c r="A41" s="2">
        <v>45952.208333333328</v>
      </c>
      <c r="B41" s="1">
        <v>258.45</v>
      </c>
      <c r="C41" s="1">
        <v>252.53</v>
      </c>
      <c r="D41" s="1">
        <v>520.54</v>
      </c>
      <c r="E41" s="1">
        <v>438.97</v>
      </c>
      <c r="F41" s="1">
        <v>217.95</v>
      </c>
      <c r="G41" s="1">
        <v>180.28</v>
      </c>
      <c r="H41" s="1">
        <v>288.88</v>
      </c>
      <c r="I41" s="1">
        <v>340.3</v>
      </c>
      <c r="K41">
        <f t="shared" si="0"/>
        <v>4.3722189978718795E-3</v>
      </c>
      <c r="L41">
        <f t="shared" si="1"/>
        <v>4.7519106640794284E-3</v>
      </c>
      <c r="M41">
        <f t="shared" si="2"/>
        <v>3.8421639066976709E-5</v>
      </c>
      <c r="N41">
        <f t="shared" si="3"/>
        <v>2.2803380641046145E-2</v>
      </c>
      <c r="O41">
        <f t="shared" si="4"/>
        <v>1.4406974076623058E-2</v>
      </c>
      <c r="P41">
        <f t="shared" si="5"/>
        <v>1.0428222764588435E-2</v>
      </c>
      <c r="Q41">
        <f t="shared" si="6"/>
        <v>6.404043201329257E-3</v>
      </c>
      <c r="R41">
        <f t="shared" si="7"/>
        <v>1.1724948574787009E-2</v>
      </c>
      <c r="W41">
        <f t="shared" si="8"/>
        <v>4.7519106640794284E-3</v>
      </c>
      <c r="X41">
        <f t="shared" si="9"/>
        <v>4.5931805053492699E-3</v>
      </c>
      <c r="AA41">
        <f t="shared" si="10"/>
        <v>0</v>
      </c>
    </row>
    <row r="42" spans="1:27">
      <c r="A42" s="2">
        <v>45953.208333333328</v>
      </c>
      <c r="B42" s="1">
        <v>259.58</v>
      </c>
      <c r="C42" s="1">
        <v>253.73</v>
      </c>
      <c r="D42" s="1">
        <v>520.55999999999995</v>
      </c>
      <c r="E42" s="1">
        <v>448.98</v>
      </c>
      <c r="F42" s="1">
        <v>221.09</v>
      </c>
      <c r="G42" s="1">
        <v>182.16</v>
      </c>
      <c r="H42" s="1">
        <v>290.73</v>
      </c>
      <c r="I42" s="1">
        <v>344.29</v>
      </c>
      <c r="K42">
        <f t="shared" si="0"/>
        <v>1.2481701209646312E-2</v>
      </c>
      <c r="L42">
        <f t="shared" si="1"/>
        <v>2.6721317936388989E-2</v>
      </c>
      <c r="M42">
        <f t="shared" si="2"/>
        <v>5.8590748424773853E-3</v>
      </c>
      <c r="N42">
        <f t="shared" si="3"/>
        <v>-3.3988150919862736E-2</v>
      </c>
      <c r="O42">
        <f t="shared" si="4"/>
        <v>1.4111900131168253E-2</v>
      </c>
      <c r="P42">
        <f t="shared" si="5"/>
        <v>2.2507685551163892E-2</v>
      </c>
      <c r="Q42">
        <f t="shared" si="6"/>
        <v>1.4549582086471835E-2</v>
      </c>
      <c r="R42">
        <f t="shared" si="7"/>
        <v>2.8580557088500935E-2</v>
      </c>
      <c r="W42">
        <f t="shared" si="8"/>
        <v>2.6721317936388989E-2</v>
      </c>
      <c r="X42">
        <f t="shared" si="9"/>
        <v>2.6562587777658828E-2</v>
      </c>
      <c r="AA42">
        <f t="shared" si="10"/>
        <v>0</v>
      </c>
    </row>
    <row r="43" spans="1:27">
      <c r="A43" s="2">
        <v>45954.208333333328</v>
      </c>
      <c r="B43" s="1">
        <v>262.82</v>
      </c>
      <c r="C43" s="1">
        <v>260.51</v>
      </c>
      <c r="D43" s="1">
        <v>523.61</v>
      </c>
      <c r="E43" s="1">
        <v>433.72</v>
      </c>
      <c r="F43" s="1">
        <v>224.21</v>
      </c>
      <c r="G43" s="1">
        <v>186.26</v>
      </c>
      <c r="H43" s="1">
        <v>294.95999999999998</v>
      </c>
      <c r="I43" s="1">
        <v>354.13</v>
      </c>
      <c r="K43">
        <f t="shared" si="0"/>
        <v>2.2791263982954169E-2</v>
      </c>
      <c r="L43">
        <f t="shared" si="1"/>
        <v>3.6159840313231717E-2</v>
      </c>
      <c r="M43">
        <f t="shared" si="2"/>
        <v>1.5106663356314831E-2</v>
      </c>
      <c r="N43">
        <f t="shared" si="3"/>
        <v>4.3115373973992455E-2</v>
      </c>
      <c r="O43">
        <f t="shared" si="4"/>
        <v>1.2309888051380335E-2</v>
      </c>
      <c r="P43">
        <f t="shared" si="5"/>
        <v>2.8079029313862414E-2</v>
      </c>
      <c r="Q43">
        <f t="shared" si="6"/>
        <v>1.1154054787089862E-2</v>
      </c>
      <c r="R43">
        <f t="shared" si="7"/>
        <v>2.2364668342134353E-2</v>
      </c>
      <c r="W43">
        <f t="shared" si="8"/>
        <v>3.6159840313231717E-2</v>
      </c>
      <c r="X43">
        <f t="shared" si="9"/>
        <v>3.600111015450156E-2</v>
      </c>
      <c r="AA43">
        <f t="shared" si="10"/>
        <v>0</v>
      </c>
    </row>
    <row r="44" spans="1:27">
      <c r="A44" s="2">
        <v>45957.208333333328</v>
      </c>
      <c r="B44" s="1">
        <v>268.81</v>
      </c>
      <c r="C44" s="1">
        <v>269.93</v>
      </c>
      <c r="D44" s="1">
        <v>531.52</v>
      </c>
      <c r="E44" s="1">
        <v>452.42</v>
      </c>
      <c r="F44" s="1">
        <v>226.97</v>
      </c>
      <c r="G44" s="1">
        <v>191.49</v>
      </c>
      <c r="H44" s="1">
        <v>298.25</v>
      </c>
      <c r="I44" s="1">
        <v>362.05</v>
      </c>
      <c r="K44">
        <f t="shared" si="0"/>
        <v>7.0681894274771118E-4</v>
      </c>
      <c r="L44">
        <f t="shared" si="1"/>
        <v>-5.5569962582892041E-3</v>
      </c>
      <c r="M44">
        <f t="shared" si="2"/>
        <v>1.984873570138479E-2</v>
      </c>
      <c r="N44">
        <f t="shared" si="3"/>
        <v>1.7970027850227721E-2</v>
      </c>
      <c r="O44">
        <f t="shared" si="4"/>
        <v>1.004538044675507E-2</v>
      </c>
      <c r="P44">
        <f t="shared" si="5"/>
        <v>4.9819833933886892E-2</v>
      </c>
      <c r="Q44">
        <f t="shared" si="6"/>
        <v>1.09974853310979E-2</v>
      </c>
      <c r="R44">
        <f t="shared" si="7"/>
        <v>3.0161579892280077E-2</v>
      </c>
      <c r="W44">
        <f t="shared" si="8"/>
        <v>-5.5569962582892041E-3</v>
      </c>
      <c r="X44">
        <f t="shared" si="9"/>
        <v>-5.7157264170193626E-3</v>
      </c>
      <c r="AA44">
        <f t="shared" si="10"/>
        <v>-5.7157264170193626E-3</v>
      </c>
    </row>
    <row r="45" spans="1:27">
      <c r="A45" s="2">
        <v>45958.208333333328</v>
      </c>
      <c r="B45" s="1">
        <v>269</v>
      </c>
      <c r="C45" s="1">
        <v>268.43</v>
      </c>
      <c r="D45" s="1">
        <v>542.07000000000005</v>
      </c>
      <c r="E45" s="1">
        <v>460.55</v>
      </c>
      <c r="F45" s="1">
        <v>229.25</v>
      </c>
      <c r="G45" s="1">
        <v>201.03</v>
      </c>
      <c r="H45" s="1">
        <v>301.52999999999997</v>
      </c>
      <c r="I45" s="1">
        <v>372.97</v>
      </c>
      <c r="K45">
        <f t="shared" si="0"/>
        <v>2.6022304832713505E-3</v>
      </c>
      <c r="L45">
        <f t="shared" si="1"/>
        <v>2.5108966956003398E-2</v>
      </c>
      <c r="M45">
        <f t="shared" si="2"/>
        <v>-9.5928570110892508E-4</v>
      </c>
      <c r="N45">
        <f t="shared" si="3"/>
        <v>2.0844642275539282E-3</v>
      </c>
      <c r="O45">
        <f t="shared" si="4"/>
        <v>4.5801526717557106E-3</v>
      </c>
      <c r="P45">
        <f t="shared" si="5"/>
        <v>2.989603541759922E-2</v>
      </c>
      <c r="Q45">
        <f t="shared" si="6"/>
        <v>1.1806453752528867E-2</v>
      </c>
      <c r="R45">
        <f t="shared" si="7"/>
        <v>3.4882162104190595E-2</v>
      </c>
      <c r="W45">
        <f t="shared" si="8"/>
        <v>2.5108966956003398E-2</v>
      </c>
      <c r="X45">
        <f t="shared" si="9"/>
        <v>2.4950236797273238E-2</v>
      </c>
      <c r="AA45">
        <f t="shared" si="10"/>
        <v>0</v>
      </c>
    </row>
    <row r="46" spans="1:27">
      <c r="A46" s="2">
        <v>45959.208333333328</v>
      </c>
      <c r="B46" s="1">
        <v>269.7</v>
      </c>
      <c r="C46" s="1">
        <v>275.17</v>
      </c>
      <c r="D46" s="1">
        <v>541.54999999999995</v>
      </c>
      <c r="E46" s="1">
        <v>461.51</v>
      </c>
      <c r="F46" s="1">
        <v>230.3</v>
      </c>
      <c r="G46" s="1">
        <v>207.04</v>
      </c>
      <c r="H46" s="1">
        <v>305.08999999999997</v>
      </c>
      <c r="I46" s="1">
        <v>385.98</v>
      </c>
      <c r="K46">
        <f t="shared" si="0"/>
        <v>6.3032999629217823E-3</v>
      </c>
      <c r="L46">
        <f t="shared" si="1"/>
        <v>2.4457608024130328E-2</v>
      </c>
      <c r="M46">
        <f t="shared" si="2"/>
        <v>-2.915704921059914E-2</v>
      </c>
      <c r="N46">
        <f t="shared" si="3"/>
        <v>-4.6391194123637569E-2</v>
      </c>
      <c r="O46">
        <f t="shared" si="4"/>
        <v>-3.2305688232739938E-2</v>
      </c>
      <c r="P46">
        <f t="shared" si="5"/>
        <v>-2.0044435857805243E-2</v>
      </c>
      <c r="Q46">
        <f t="shared" si="6"/>
        <v>-6.1293388836078933E-3</v>
      </c>
      <c r="R46">
        <f t="shared" si="7"/>
        <v>-2.4638582309964185E-2</v>
      </c>
      <c r="W46">
        <f t="shared" si="8"/>
        <v>2.4457608024130328E-2</v>
      </c>
      <c r="X46">
        <f t="shared" si="9"/>
        <v>2.4298877865400168E-2</v>
      </c>
      <c r="AA46">
        <f t="shared" si="10"/>
        <v>0</v>
      </c>
    </row>
    <row r="47" spans="1:27">
      <c r="A47" s="2">
        <v>45960.208333333328</v>
      </c>
      <c r="B47" s="1">
        <v>271.39999999999998</v>
      </c>
      <c r="C47" s="1">
        <v>281.89999999999998</v>
      </c>
      <c r="D47" s="1">
        <v>525.76</v>
      </c>
      <c r="E47" s="1">
        <v>440.1</v>
      </c>
      <c r="F47" s="1">
        <v>222.86</v>
      </c>
      <c r="G47" s="1">
        <v>202.89</v>
      </c>
      <c r="H47" s="1">
        <v>303.22000000000003</v>
      </c>
      <c r="I47" s="1">
        <v>376.47</v>
      </c>
      <c r="K47">
        <f t="shared" si="0"/>
        <v>-3.7951363301399477E-3</v>
      </c>
      <c r="L47">
        <f t="shared" si="1"/>
        <v>-2.8378857750965825E-4</v>
      </c>
      <c r="M47">
        <f t="shared" si="2"/>
        <v>-1.5120967741935609E-2</v>
      </c>
      <c r="N47">
        <f t="shared" si="3"/>
        <v>3.7400590774823828E-2</v>
      </c>
      <c r="O47">
        <f t="shared" si="4"/>
        <v>9.5844925065063258E-2</v>
      </c>
      <c r="P47">
        <f t="shared" si="5"/>
        <v>-1.9715116565625079E-3</v>
      </c>
      <c r="Q47">
        <f t="shared" si="6"/>
        <v>-9.2012400237452274E-3</v>
      </c>
      <c r="R47">
        <f t="shared" si="7"/>
        <v>-1.8168778388716333E-2</v>
      </c>
      <c r="W47">
        <f t="shared" si="8"/>
        <v>-2.8378857750965825E-4</v>
      </c>
      <c r="X47">
        <f t="shared" si="9"/>
        <v>-4.4251873623981698E-4</v>
      </c>
      <c r="AA47">
        <f t="shared" si="10"/>
        <v>-4.4251873623981698E-4</v>
      </c>
    </row>
    <row r="48" spans="1:27">
      <c r="A48" s="2">
        <v>45961.208333333328</v>
      </c>
      <c r="B48" s="1">
        <v>270.37</v>
      </c>
      <c r="C48" s="1">
        <v>281.82</v>
      </c>
      <c r="D48" s="1">
        <v>517.80999999999995</v>
      </c>
      <c r="E48" s="1">
        <v>456.56</v>
      </c>
      <c r="F48" s="1">
        <v>244.22</v>
      </c>
      <c r="G48" s="1">
        <v>202.49</v>
      </c>
      <c r="H48" s="1">
        <v>300.43</v>
      </c>
      <c r="I48" s="1">
        <v>369.63</v>
      </c>
      <c r="K48">
        <f t="shared" si="0"/>
        <v>-4.8821984687650311E-3</v>
      </c>
      <c r="L48">
        <f t="shared" si="1"/>
        <v>8.1612376694344402E-3</v>
      </c>
      <c r="M48">
        <f t="shared" si="2"/>
        <v>-1.5063440258009653E-3</v>
      </c>
      <c r="N48">
        <f t="shared" si="3"/>
        <v>2.5867355878745446E-2</v>
      </c>
      <c r="O48">
        <f t="shared" si="4"/>
        <v>4.0045860289902535E-2</v>
      </c>
      <c r="P48">
        <f t="shared" si="5"/>
        <v>2.1680082967060033E-2</v>
      </c>
      <c r="Q48">
        <f t="shared" si="6"/>
        <v>1.4745531404986245E-2</v>
      </c>
      <c r="R48">
        <f t="shared" si="7"/>
        <v>-1.9154289424559656E-2</v>
      </c>
      <c r="W48">
        <f t="shared" si="8"/>
        <v>8.1612376694344402E-3</v>
      </c>
      <c r="X48">
        <f t="shared" si="9"/>
        <v>8.0025075107042817E-3</v>
      </c>
      <c r="AA48">
        <f t="shared" si="10"/>
        <v>0</v>
      </c>
    </row>
    <row r="49" spans="1:27">
      <c r="A49" s="2">
        <v>45964.208333333328</v>
      </c>
      <c r="B49" s="1">
        <v>269.05</v>
      </c>
      <c r="C49" s="1">
        <v>284.12</v>
      </c>
      <c r="D49" s="1">
        <v>517.03</v>
      </c>
      <c r="E49" s="1">
        <v>468.37</v>
      </c>
      <c r="F49" s="1">
        <v>254</v>
      </c>
      <c r="G49" s="1">
        <v>206.88</v>
      </c>
      <c r="H49" s="1">
        <v>304.86</v>
      </c>
      <c r="I49" s="1">
        <v>362.55</v>
      </c>
      <c r="K49">
        <f t="shared" si="0"/>
        <v>3.6796134547483206E-3</v>
      </c>
      <c r="L49">
        <f t="shared" si="1"/>
        <v>-2.1329015908770899E-2</v>
      </c>
      <c r="M49">
        <f t="shared" si="2"/>
        <v>-5.222134112140342E-3</v>
      </c>
      <c r="N49">
        <f t="shared" si="3"/>
        <v>-5.1476396865725804E-2</v>
      </c>
      <c r="O49">
        <f t="shared" si="4"/>
        <v>-1.8425196850393677E-2</v>
      </c>
      <c r="P49">
        <f t="shared" si="5"/>
        <v>-3.9588167053364209E-2</v>
      </c>
      <c r="Q49">
        <f t="shared" si="6"/>
        <v>-3.5458899166830649E-2</v>
      </c>
      <c r="R49">
        <f t="shared" si="7"/>
        <v>-2.9264928975313742E-2</v>
      </c>
      <c r="W49">
        <f t="shared" si="8"/>
        <v>-2.1329015908770899E-2</v>
      </c>
      <c r="X49">
        <f t="shared" si="9"/>
        <v>-2.1487746067501059E-2</v>
      </c>
      <c r="AA49">
        <f t="shared" si="10"/>
        <v>-2.1487746067501059E-2</v>
      </c>
    </row>
    <row r="50" spans="1:27">
      <c r="A50" s="2">
        <v>45965.208333333328</v>
      </c>
      <c r="B50" s="1">
        <v>270.04000000000002</v>
      </c>
      <c r="C50" s="1">
        <v>278.06</v>
      </c>
      <c r="D50" s="1">
        <v>514.33000000000004</v>
      </c>
      <c r="E50" s="1">
        <v>444.26</v>
      </c>
      <c r="F50" s="1">
        <v>249.32</v>
      </c>
      <c r="G50" s="1">
        <v>198.69</v>
      </c>
      <c r="H50" s="1">
        <v>294.05</v>
      </c>
      <c r="I50" s="1">
        <v>351.94</v>
      </c>
      <c r="K50">
        <f t="shared" si="0"/>
        <v>3.7031550881327924E-4</v>
      </c>
      <c r="L50">
        <f t="shared" si="1"/>
        <v>2.4059555491620532E-2</v>
      </c>
      <c r="M50">
        <f t="shared" si="2"/>
        <v>-1.3940466237629567E-2</v>
      </c>
      <c r="N50">
        <f t="shared" si="3"/>
        <v>4.0089136991851682E-2</v>
      </c>
      <c r="O50">
        <f t="shared" si="4"/>
        <v>3.5296005133964581E-3</v>
      </c>
      <c r="P50">
        <f t="shared" si="5"/>
        <v>-1.7514721425335944E-2</v>
      </c>
      <c r="Q50">
        <f t="shared" si="6"/>
        <v>-1.3943206937596653E-3</v>
      </c>
      <c r="R50">
        <f t="shared" si="7"/>
        <v>2.0003409672103345E-2</v>
      </c>
      <c r="W50">
        <f t="shared" si="8"/>
        <v>2.4059555491620532E-2</v>
      </c>
      <c r="X50">
        <f t="shared" si="9"/>
        <v>2.3900825332890372E-2</v>
      </c>
      <c r="AA50">
        <f t="shared" si="10"/>
        <v>0</v>
      </c>
    </row>
    <row r="51" spans="1:27">
      <c r="A51" s="2">
        <v>45966.208333333328</v>
      </c>
      <c r="B51" s="1">
        <v>270.14</v>
      </c>
      <c r="C51" s="1">
        <v>284.75</v>
      </c>
      <c r="D51" s="1">
        <v>507.16</v>
      </c>
      <c r="E51" s="1">
        <v>462.07</v>
      </c>
      <c r="F51" s="1">
        <v>250.2</v>
      </c>
      <c r="G51" s="1">
        <v>195.21</v>
      </c>
      <c r="H51" s="1">
        <v>293.64</v>
      </c>
      <c r="I51" s="1">
        <v>358.98</v>
      </c>
      <c r="K51">
        <f t="shared" si="0"/>
        <v>-1.3696601762049898E-3</v>
      </c>
      <c r="L51">
        <f t="shared" si="1"/>
        <v>2.0719929762949008E-3</v>
      </c>
      <c r="M51">
        <f t="shared" si="2"/>
        <v>-1.9835949207350767E-2</v>
      </c>
      <c r="N51">
        <f t="shared" si="3"/>
        <v>-3.4973056030471517E-2</v>
      </c>
      <c r="O51">
        <f t="shared" si="4"/>
        <v>-2.8617106314948071E-2</v>
      </c>
      <c r="P51">
        <f t="shared" si="5"/>
        <v>-3.6524768198350488E-2</v>
      </c>
      <c r="Q51">
        <f t="shared" si="6"/>
        <v>-1.4984334559324242E-2</v>
      </c>
      <c r="R51">
        <f t="shared" si="7"/>
        <v>-9.4434230319239143E-3</v>
      </c>
      <c r="W51">
        <f t="shared" si="8"/>
        <v>2.0719929762949008E-3</v>
      </c>
      <c r="X51">
        <f t="shared" si="9"/>
        <v>1.913262817564742E-3</v>
      </c>
      <c r="AA51">
        <f t="shared" si="10"/>
        <v>0</v>
      </c>
    </row>
    <row r="52" spans="1:27">
      <c r="A52" s="2">
        <v>45967.208333333328</v>
      </c>
      <c r="B52" s="1">
        <v>269.77</v>
      </c>
      <c r="C52" s="1">
        <v>285.33999999999997</v>
      </c>
      <c r="D52" s="1">
        <v>497.1</v>
      </c>
      <c r="E52" s="1">
        <v>445.91</v>
      </c>
      <c r="F52" s="1">
        <v>243.04</v>
      </c>
      <c r="G52" s="1">
        <v>188.08</v>
      </c>
      <c r="H52" s="1">
        <v>289.24</v>
      </c>
      <c r="I52" s="1">
        <v>355.59</v>
      </c>
      <c r="K52">
        <f t="shared" si="0"/>
        <v>-4.818919820587686E-3</v>
      </c>
      <c r="L52">
        <f t="shared" si="1"/>
        <v>-1.9765893320249472E-2</v>
      </c>
      <c r="M52">
        <f t="shared" si="2"/>
        <v>-5.6326694830022284E-4</v>
      </c>
      <c r="N52">
        <f t="shared" si="3"/>
        <v>-3.6756296113565567E-2</v>
      </c>
      <c r="O52">
        <f t="shared" si="4"/>
        <v>5.636932192231825E-3</v>
      </c>
      <c r="P52">
        <f t="shared" si="5"/>
        <v>3.7218205019140527E-4</v>
      </c>
      <c r="Q52">
        <f t="shared" si="6"/>
        <v>-9.4731019222791257E-3</v>
      </c>
      <c r="R52">
        <f t="shared" si="7"/>
        <v>-1.7323321803200176E-2</v>
      </c>
      <c r="W52">
        <f t="shared" si="8"/>
        <v>-1.9765893320249472E-2</v>
      </c>
      <c r="X52">
        <f t="shared" si="9"/>
        <v>-1.9924623478979633E-2</v>
      </c>
      <c r="AA52">
        <f t="shared" si="10"/>
        <v>-1.9924623478979633E-2</v>
      </c>
    </row>
    <row r="53" spans="1:27">
      <c r="A53" s="2">
        <v>45968.208333333328</v>
      </c>
      <c r="B53" s="1">
        <v>268.47000000000003</v>
      </c>
      <c r="C53" s="1">
        <v>279.7</v>
      </c>
      <c r="D53" s="1">
        <v>496.82</v>
      </c>
      <c r="E53" s="1">
        <v>429.52</v>
      </c>
      <c r="F53" s="1">
        <v>244.41</v>
      </c>
      <c r="G53" s="1">
        <v>188.15</v>
      </c>
      <c r="H53" s="1">
        <v>286.5</v>
      </c>
      <c r="I53" s="1">
        <v>349.43</v>
      </c>
      <c r="K53">
        <f t="shared" si="0"/>
        <v>3.5758185272096732E-3</v>
      </c>
      <c r="L53">
        <f t="shared" si="1"/>
        <v>3.8934572756524899E-2</v>
      </c>
      <c r="M53">
        <f t="shared" si="2"/>
        <v>1.8477517008171906E-2</v>
      </c>
      <c r="N53">
        <f t="shared" si="3"/>
        <v>3.6575712423170037E-2</v>
      </c>
      <c r="O53">
        <f t="shared" si="4"/>
        <v>1.6325027617527965E-2</v>
      </c>
      <c r="P53">
        <f t="shared" si="5"/>
        <v>5.7932500664363618E-2</v>
      </c>
      <c r="Q53">
        <f t="shared" si="6"/>
        <v>3.0610820244328041E-2</v>
      </c>
      <c r="R53">
        <f t="shared" si="7"/>
        <v>2.5641759436797029E-2</v>
      </c>
      <c r="W53">
        <f t="shared" si="8"/>
        <v>3.8934572756524899E-2</v>
      </c>
      <c r="X53">
        <f t="shared" si="9"/>
        <v>3.8775842597794742E-2</v>
      </c>
      <c r="AA53">
        <f t="shared" si="10"/>
        <v>0</v>
      </c>
    </row>
    <row r="54" spans="1:27">
      <c r="A54" s="2">
        <v>45971.208333333328</v>
      </c>
      <c r="B54" s="1">
        <v>269.43</v>
      </c>
      <c r="C54" s="1">
        <v>290.58999999999997</v>
      </c>
      <c r="D54" s="1">
        <v>506</v>
      </c>
      <c r="E54" s="1">
        <v>445.23</v>
      </c>
      <c r="F54" s="1">
        <v>248.4</v>
      </c>
      <c r="G54" s="1">
        <v>199.05</v>
      </c>
      <c r="H54" s="1">
        <v>295.27</v>
      </c>
      <c r="I54" s="1">
        <v>358.39</v>
      </c>
      <c r="K54">
        <f t="shared" si="0"/>
        <v>2.1601158000222664E-2</v>
      </c>
      <c r="L54">
        <f t="shared" si="1"/>
        <v>3.9574658453491729E-3</v>
      </c>
      <c r="M54">
        <f t="shared" si="2"/>
        <v>5.2964426877470938E-3</v>
      </c>
      <c r="N54">
        <f t="shared" si="3"/>
        <v>-1.2600229095074522E-2</v>
      </c>
      <c r="O54">
        <f t="shared" si="4"/>
        <v>2.8180354267310914E-3</v>
      </c>
      <c r="P54">
        <f t="shared" si="5"/>
        <v>-2.9590555136900343E-2</v>
      </c>
      <c r="Q54">
        <f t="shared" si="6"/>
        <v>-1.3885596233955244E-2</v>
      </c>
      <c r="R54">
        <f t="shared" si="7"/>
        <v>-1.7941348809955682E-2</v>
      </c>
      <c r="W54">
        <f t="shared" si="8"/>
        <v>3.9574658453491729E-3</v>
      </c>
      <c r="X54">
        <f t="shared" si="9"/>
        <v>3.7987356866190144E-3</v>
      </c>
      <c r="AA54">
        <f t="shared" si="10"/>
        <v>0</v>
      </c>
    </row>
    <row r="55" spans="1:27">
      <c r="A55" s="2">
        <v>45972.208333333328</v>
      </c>
      <c r="B55" s="1">
        <v>275.25</v>
      </c>
      <c r="C55" s="1">
        <v>291.74</v>
      </c>
      <c r="D55" s="1">
        <v>508.68</v>
      </c>
      <c r="E55" s="1">
        <v>439.62</v>
      </c>
      <c r="F55" s="1">
        <v>249.1</v>
      </c>
      <c r="G55" s="1">
        <v>193.16</v>
      </c>
      <c r="H55" s="1">
        <v>291.17</v>
      </c>
      <c r="I55" s="1">
        <v>351.96</v>
      </c>
      <c r="K55">
        <f t="shared" si="0"/>
        <v>-6.4668483197092286E-3</v>
      </c>
      <c r="L55">
        <f t="shared" si="1"/>
        <v>-1.4773428395146393E-2</v>
      </c>
      <c r="M55">
        <f t="shared" si="2"/>
        <v>4.8360462373200352E-3</v>
      </c>
      <c r="N55">
        <f t="shared" si="3"/>
        <v>-2.0517719848960447E-2</v>
      </c>
      <c r="O55">
        <f t="shared" si="4"/>
        <v>-1.9670814933761549E-2</v>
      </c>
      <c r="P55">
        <f t="shared" si="5"/>
        <v>3.313315386208382E-3</v>
      </c>
      <c r="Q55">
        <f t="shared" si="6"/>
        <v>-1.8889308651304226E-3</v>
      </c>
      <c r="R55">
        <f t="shared" si="7"/>
        <v>9.2624161836574181E-3</v>
      </c>
      <c r="W55">
        <f t="shared" si="8"/>
        <v>-1.4773428395146393E-2</v>
      </c>
      <c r="X55">
        <f t="shared" si="9"/>
        <v>-1.4932158553876551E-2</v>
      </c>
      <c r="AA55">
        <f t="shared" si="10"/>
        <v>-1.4932158553876551E-2</v>
      </c>
    </row>
    <row r="56" spans="1:27">
      <c r="A56" s="2">
        <v>45973.208333333328</v>
      </c>
      <c r="B56" s="1">
        <v>273.47000000000003</v>
      </c>
      <c r="C56" s="1">
        <v>287.43</v>
      </c>
      <c r="D56" s="1">
        <v>511.14</v>
      </c>
      <c r="E56" s="1">
        <v>430.6</v>
      </c>
      <c r="F56" s="1">
        <v>244.2</v>
      </c>
      <c r="G56" s="1">
        <v>193.8</v>
      </c>
      <c r="H56" s="1">
        <v>290.62</v>
      </c>
      <c r="I56" s="1">
        <v>355.22</v>
      </c>
      <c r="K56">
        <f t="shared" si="0"/>
        <v>-1.9014882802502742E-3</v>
      </c>
      <c r="L56">
        <f t="shared" si="1"/>
        <v>-2.8911387120342358E-2</v>
      </c>
      <c r="M56">
        <f t="shared" si="2"/>
        <v>-1.5357827601048535E-2</v>
      </c>
      <c r="N56">
        <f t="shared" si="3"/>
        <v>-6.6442173711100838E-2</v>
      </c>
      <c r="O56">
        <f t="shared" si="4"/>
        <v>-2.7108927108926983E-2</v>
      </c>
      <c r="P56">
        <f t="shared" si="5"/>
        <v>-3.5810113519091802E-2</v>
      </c>
      <c r="Q56">
        <f t="shared" si="6"/>
        <v>-2.8972541463079038E-2</v>
      </c>
      <c r="R56">
        <f t="shared" si="7"/>
        <v>-4.2902989696526173E-2</v>
      </c>
      <c r="W56">
        <f t="shared" si="8"/>
        <v>-2.8911387120342358E-2</v>
      </c>
      <c r="X56">
        <f t="shared" si="9"/>
        <v>-2.9070117279072518E-2</v>
      </c>
      <c r="AA56">
        <f t="shared" si="10"/>
        <v>-2.9070117279072518E-2</v>
      </c>
    </row>
    <row r="57" spans="1:27">
      <c r="A57" s="2">
        <v>45974.208333333328</v>
      </c>
      <c r="B57" s="1">
        <v>272.95</v>
      </c>
      <c r="C57" s="1">
        <v>279.12</v>
      </c>
      <c r="D57" s="1">
        <v>503.29</v>
      </c>
      <c r="E57" s="1">
        <v>401.99</v>
      </c>
      <c r="F57" s="1">
        <v>237.58</v>
      </c>
      <c r="G57" s="1">
        <v>186.86</v>
      </c>
      <c r="H57" s="1">
        <v>282.2</v>
      </c>
      <c r="I57" s="1">
        <v>339.98</v>
      </c>
      <c r="K57">
        <f t="shared" si="0"/>
        <v>-1.9783843194722817E-3</v>
      </c>
      <c r="L57">
        <f t="shared" si="1"/>
        <v>-7.6669532817426056E-3</v>
      </c>
      <c r="M57">
        <f t="shared" si="2"/>
        <v>1.3689920324266192E-2</v>
      </c>
      <c r="N57">
        <f t="shared" si="3"/>
        <v>5.8707928057912806E-3</v>
      </c>
      <c r="O57">
        <f t="shared" si="4"/>
        <v>-1.2164323596262405E-2</v>
      </c>
      <c r="P57">
        <f t="shared" si="5"/>
        <v>1.7713796425131045E-2</v>
      </c>
      <c r="Q57">
        <f t="shared" si="6"/>
        <v>9.2841956059532826E-3</v>
      </c>
      <c r="R57">
        <f t="shared" si="7"/>
        <v>7.294546738043195E-3</v>
      </c>
      <c r="W57">
        <f t="shared" si="8"/>
        <v>-7.6669532817426056E-3</v>
      </c>
      <c r="X57">
        <f t="shared" si="9"/>
        <v>-7.8256834404727641E-3</v>
      </c>
      <c r="AA57">
        <f t="shared" si="10"/>
        <v>-7.8256834404727641E-3</v>
      </c>
    </row>
    <row r="58" spans="1:27">
      <c r="A58" s="2">
        <v>45975.208333333328</v>
      </c>
      <c r="B58" s="1">
        <v>272.41000000000003</v>
      </c>
      <c r="C58" s="1">
        <v>276.98</v>
      </c>
      <c r="D58" s="1">
        <v>510.18</v>
      </c>
      <c r="E58" s="1">
        <v>404.35</v>
      </c>
      <c r="F58" s="1">
        <v>234.69</v>
      </c>
      <c r="G58" s="1">
        <v>190.17</v>
      </c>
      <c r="H58" s="1">
        <v>284.82</v>
      </c>
      <c r="I58" s="1">
        <v>342.46</v>
      </c>
      <c r="K58">
        <f t="shared" si="0"/>
        <v>-1.817113909181034E-2</v>
      </c>
      <c r="L58">
        <f t="shared" si="1"/>
        <v>3.1121380605097837E-2</v>
      </c>
      <c r="M58">
        <f t="shared" si="2"/>
        <v>-5.2726488690265638E-3</v>
      </c>
      <c r="N58">
        <f t="shared" si="3"/>
        <v>1.1302089773710833E-2</v>
      </c>
      <c r="O58">
        <f t="shared" si="4"/>
        <v>-7.7549107333076961E-3</v>
      </c>
      <c r="P58">
        <f t="shared" si="5"/>
        <v>-1.8772677078403466E-2</v>
      </c>
      <c r="Q58">
        <f t="shared" si="6"/>
        <v>-9.8658802050417549E-3</v>
      </c>
      <c r="R58">
        <f t="shared" si="7"/>
        <v>5.5480932079654544E-4</v>
      </c>
      <c r="W58">
        <f t="shared" si="8"/>
        <v>3.1121380605097837E-2</v>
      </c>
      <c r="X58">
        <f t="shared" si="9"/>
        <v>3.0962650446367677E-2</v>
      </c>
      <c r="AA58">
        <f t="shared" si="10"/>
        <v>0</v>
      </c>
    </row>
    <row r="59" spans="1:27">
      <c r="A59" s="2">
        <v>45978.208333333328</v>
      </c>
      <c r="B59" s="1">
        <v>267.45999999999998</v>
      </c>
      <c r="C59" s="1">
        <v>285.60000000000002</v>
      </c>
      <c r="D59" s="1">
        <v>507.49</v>
      </c>
      <c r="E59" s="1">
        <v>408.92</v>
      </c>
      <c r="F59" s="1">
        <v>232.87</v>
      </c>
      <c r="G59" s="1">
        <v>186.6</v>
      </c>
      <c r="H59" s="1">
        <v>282.01</v>
      </c>
      <c r="I59" s="1">
        <v>342.65</v>
      </c>
      <c r="K59">
        <f t="shared" si="0"/>
        <v>-7.4777536827830282E-5</v>
      </c>
      <c r="L59">
        <f t="shared" si="1"/>
        <v>-2.2408963585435204E-3</v>
      </c>
      <c r="M59">
        <f t="shared" si="2"/>
        <v>-2.699560582474525E-2</v>
      </c>
      <c r="N59">
        <f t="shared" si="3"/>
        <v>-1.8756725031791044E-2</v>
      </c>
      <c r="O59">
        <f t="shared" si="4"/>
        <v>-4.4316571477648448E-2</v>
      </c>
      <c r="P59">
        <f t="shared" si="5"/>
        <v>-2.8081457663451159E-2</v>
      </c>
      <c r="Q59">
        <f t="shared" si="6"/>
        <v>-1.4538491542852916E-2</v>
      </c>
      <c r="R59">
        <f t="shared" si="7"/>
        <v>-6.2746242521523055E-3</v>
      </c>
      <c r="W59">
        <f t="shared" si="8"/>
        <v>-2.2408963585435204E-3</v>
      </c>
      <c r="X59">
        <f t="shared" si="9"/>
        <v>-2.3996265172736789E-3</v>
      </c>
      <c r="AA59">
        <f t="shared" si="10"/>
        <v>-2.3996265172736789E-3</v>
      </c>
    </row>
    <row r="60" spans="1:27">
      <c r="A60" s="2">
        <v>45979.208333333328</v>
      </c>
      <c r="B60" s="1">
        <v>267.44</v>
      </c>
      <c r="C60" s="1">
        <v>284.95999999999998</v>
      </c>
      <c r="D60" s="1">
        <v>493.79</v>
      </c>
      <c r="E60" s="1">
        <v>401.25</v>
      </c>
      <c r="F60" s="1">
        <v>222.55</v>
      </c>
      <c r="G60" s="1">
        <v>181.36</v>
      </c>
      <c r="H60" s="1">
        <v>277.91000000000003</v>
      </c>
      <c r="I60" s="1">
        <v>340.5</v>
      </c>
      <c r="K60">
        <f t="shared" si="0"/>
        <v>4.1878552198624241E-3</v>
      </c>
      <c r="L60">
        <f t="shared" si="1"/>
        <v>2.817939359910171E-2</v>
      </c>
      <c r="M60">
        <f t="shared" si="2"/>
        <v>-1.3507766459426085E-2</v>
      </c>
      <c r="N60">
        <f t="shared" si="3"/>
        <v>6.8286604361371683E-3</v>
      </c>
      <c r="O60">
        <f t="shared" si="4"/>
        <v>6.2907211862506252E-4</v>
      </c>
      <c r="P60">
        <f t="shared" si="5"/>
        <v>2.8451698279664761E-2</v>
      </c>
      <c r="Q60">
        <f t="shared" si="6"/>
        <v>1.6048360980173371E-2</v>
      </c>
      <c r="R60">
        <f t="shared" si="7"/>
        <v>4.0881057268722598E-2</v>
      </c>
      <c r="W60">
        <f t="shared" si="8"/>
        <v>2.817939359910171E-2</v>
      </c>
      <c r="X60">
        <f t="shared" si="9"/>
        <v>2.8020663440371549E-2</v>
      </c>
      <c r="AA60">
        <f t="shared" si="10"/>
        <v>0</v>
      </c>
    </row>
    <row r="61" spans="1:27">
      <c r="A61" s="2">
        <v>45980.208333333328</v>
      </c>
      <c r="B61" s="1">
        <v>268.56</v>
      </c>
      <c r="C61" s="1">
        <v>292.99</v>
      </c>
      <c r="D61" s="1">
        <v>487.12</v>
      </c>
      <c r="E61" s="1">
        <v>403.99</v>
      </c>
      <c r="F61" s="1">
        <v>222.69</v>
      </c>
      <c r="G61" s="1">
        <v>186.52</v>
      </c>
      <c r="H61" s="1">
        <v>282.37</v>
      </c>
      <c r="I61" s="1">
        <v>354.42</v>
      </c>
      <c r="K61">
        <f t="shared" si="0"/>
        <v>-8.6014298480786566E-3</v>
      </c>
      <c r="L61">
        <f t="shared" si="1"/>
        <v>-1.0273388170244702E-2</v>
      </c>
      <c r="M61">
        <f t="shared" si="2"/>
        <v>-1.7839546723599886E-2</v>
      </c>
      <c r="N61">
        <f t="shared" si="3"/>
        <v>-2.168370504220396E-2</v>
      </c>
      <c r="O61">
        <f t="shared" si="4"/>
        <v>-2.4922538057389199E-2</v>
      </c>
      <c r="P61">
        <f t="shared" si="5"/>
        <v>-3.1524769461720004E-2</v>
      </c>
      <c r="Q61">
        <f t="shared" si="6"/>
        <v>-1.7246874667988799E-2</v>
      </c>
      <c r="R61">
        <f t="shared" si="7"/>
        <v>-2.1443485130635986E-2</v>
      </c>
      <c r="W61">
        <f t="shared" si="8"/>
        <v>-1.0273388170244702E-2</v>
      </c>
      <c r="X61">
        <f t="shared" si="9"/>
        <v>-1.043211832897486E-2</v>
      </c>
      <c r="AA61">
        <f t="shared" si="10"/>
        <v>-1.043211832897486E-2</v>
      </c>
    </row>
    <row r="62" spans="1:27">
      <c r="A62" s="2">
        <v>45981.208333333328</v>
      </c>
      <c r="B62" s="1">
        <v>266.25</v>
      </c>
      <c r="C62" s="1">
        <v>289.98</v>
      </c>
      <c r="D62" s="1">
        <v>478.43</v>
      </c>
      <c r="E62" s="1">
        <v>395.23</v>
      </c>
      <c r="F62" s="1">
        <v>217.14</v>
      </c>
      <c r="G62" s="1">
        <v>180.64</v>
      </c>
      <c r="H62" s="1">
        <v>277.5</v>
      </c>
      <c r="I62" s="1">
        <v>346.82</v>
      </c>
      <c r="K62">
        <f t="shared" si="0"/>
        <v>1.9680751173708932E-2</v>
      </c>
      <c r="L62">
        <f t="shared" si="1"/>
        <v>3.3347127388095643E-2</v>
      </c>
      <c r="M62">
        <f t="shared" si="2"/>
        <v>-1.3188972263445065E-2</v>
      </c>
      <c r="N62">
        <f t="shared" si="3"/>
        <v>-1.0474913341598668E-2</v>
      </c>
      <c r="O62">
        <f t="shared" si="4"/>
        <v>1.6348899327622846E-2</v>
      </c>
      <c r="P62">
        <f t="shared" si="5"/>
        <v>-9.7431355181576418E-3</v>
      </c>
      <c r="Q62">
        <f t="shared" si="6"/>
        <v>-8.7927927927927696E-3</v>
      </c>
      <c r="R62">
        <f t="shared" si="7"/>
        <v>-1.9087711204659463E-2</v>
      </c>
      <c r="W62">
        <f t="shared" si="8"/>
        <v>3.3347127388095643E-2</v>
      </c>
      <c r="X62">
        <f t="shared" si="9"/>
        <v>3.3188397229365486E-2</v>
      </c>
      <c r="AA62">
        <f t="shared" si="10"/>
        <v>0</v>
      </c>
    </row>
    <row r="63" spans="1:27">
      <c r="A63" s="2">
        <v>45982.208333333328</v>
      </c>
      <c r="B63" s="1">
        <v>271.49</v>
      </c>
      <c r="C63" s="1">
        <v>299.64999999999998</v>
      </c>
      <c r="D63" s="1">
        <v>472.12</v>
      </c>
      <c r="E63" s="1">
        <v>391.09</v>
      </c>
      <c r="F63" s="1">
        <v>220.69</v>
      </c>
      <c r="G63" s="1">
        <v>178.88</v>
      </c>
      <c r="H63" s="1">
        <v>275.06</v>
      </c>
      <c r="I63" s="1">
        <v>340.2</v>
      </c>
      <c r="K63">
        <f t="shared" si="0"/>
        <v>1.631735975542381E-2</v>
      </c>
      <c r="L63">
        <f t="shared" si="1"/>
        <v>6.2806607708993933E-2</v>
      </c>
      <c r="M63">
        <f t="shared" si="2"/>
        <v>3.9820384647970553E-3</v>
      </c>
      <c r="N63">
        <f t="shared" si="3"/>
        <v>6.8245160960392681E-2</v>
      </c>
      <c r="O63">
        <f t="shared" si="4"/>
        <v>2.5329647922425202E-2</v>
      </c>
      <c r="P63">
        <f t="shared" si="5"/>
        <v>2.0516547406082442E-2</v>
      </c>
      <c r="Q63">
        <f t="shared" si="6"/>
        <v>3.4828764633170861E-2</v>
      </c>
      <c r="R63">
        <f t="shared" si="7"/>
        <v>0.11099353321575545</v>
      </c>
      <c r="W63">
        <f t="shared" si="8"/>
        <v>6.2806607708993933E-2</v>
      </c>
      <c r="X63">
        <f t="shared" si="9"/>
        <v>6.264787755026377E-2</v>
      </c>
      <c r="AA63">
        <f t="shared" si="10"/>
        <v>0</v>
      </c>
    </row>
    <row r="64" spans="1:27">
      <c r="A64" s="2">
        <v>45985.208333333328</v>
      </c>
      <c r="B64" s="1">
        <v>275.92</v>
      </c>
      <c r="C64" s="1">
        <v>318.47000000000003</v>
      </c>
      <c r="D64" s="1">
        <v>474</v>
      </c>
      <c r="E64" s="1">
        <v>417.78</v>
      </c>
      <c r="F64" s="1">
        <v>226.28</v>
      </c>
      <c r="G64" s="1">
        <v>182.55</v>
      </c>
      <c r="H64" s="1">
        <v>284.64</v>
      </c>
      <c r="I64" s="1">
        <v>377.96</v>
      </c>
      <c r="K64">
        <f t="shared" si="0"/>
        <v>3.8054508553204691E-3</v>
      </c>
      <c r="L64">
        <f t="shared" si="1"/>
        <v>1.6233868182246258E-2</v>
      </c>
      <c r="M64">
        <f t="shared" si="2"/>
        <v>6.308016877637046E-3</v>
      </c>
      <c r="N64">
        <f t="shared" si="3"/>
        <v>3.8776389487289453E-3</v>
      </c>
      <c r="O64">
        <f t="shared" si="4"/>
        <v>1.498143892522541E-2</v>
      </c>
      <c r="P64">
        <f t="shared" si="5"/>
        <v>-2.5910709394686537E-2</v>
      </c>
      <c r="Q64">
        <f t="shared" si="6"/>
        <v>1.4052838673417334E-4</v>
      </c>
      <c r="R64">
        <f t="shared" si="7"/>
        <v>1.8705683141073015E-2</v>
      </c>
      <c r="W64">
        <f t="shared" si="8"/>
        <v>1.6233868182246258E-2</v>
      </c>
      <c r="X64">
        <f t="shared" si="9"/>
        <v>1.6075138023516098E-2</v>
      </c>
      <c r="AA64">
        <f t="shared" si="10"/>
        <v>0</v>
      </c>
    </row>
    <row r="65" spans="1:27">
      <c r="A65" s="2">
        <v>45986.208333333328</v>
      </c>
      <c r="B65" s="1">
        <v>276.97000000000003</v>
      </c>
      <c r="C65" s="1">
        <v>323.64</v>
      </c>
      <c r="D65" s="1">
        <v>476.99</v>
      </c>
      <c r="E65" s="1">
        <v>419.4</v>
      </c>
      <c r="F65" s="1">
        <v>229.67</v>
      </c>
      <c r="G65" s="1">
        <v>177.82</v>
      </c>
      <c r="H65" s="1">
        <v>284.68</v>
      </c>
      <c r="I65" s="1">
        <v>385.03</v>
      </c>
      <c r="K65">
        <f t="shared" si="0"/>
        <v>2.0940896125933861E-3</v>
      </c>
      <c r="L65">
        <f t="shared" si="1"/>
        <v>-1.0381905821282955E-2</v>
      </c>
      <c r="M65">
        <f t="shared" si="2"/>
        <v>1.7841044885636981E-2</v>
      </c>
      <c r="N65">
        <f t="shared" si="3"/>
        <v>1.7119694802098184E-2</v>
      </c>
      <c r="O65">
        <f t="shared" si="4"/>
        <v>-2.2205773501109416E-3</v>
      </c>
      <c r="P65">
        <f t="shared" si="5"/>
        <v>1.3721741086492045E-2</v>
      </c>
      <c r="Q65">
        <f t="shared" si="6"/>
        <v>1.8547140649149751E-2</v>
      </c>
      <c r="R65">
        <f t="shared" si="7"/>
        <v>3.2568890735786837E-2</v>
      </c>
      <c r="W65">
        <f t="shared" si="8"/>
        <v>-1.0381905821282955E-2</v>
      </c>
      <c r="X65">
        <f t="shared" si="9"/>
        <v>-1.0540635980013114E-2</v>
      </c>
      <c r="AA65">
        <f t="shared" si="10"/>
        <v>-1.0540635980013114E-2</v>
      </c>
    </row>
    <row r="66" spans="1:27">
      <c r="A66" s="2">
        <v>45987.208333333328</v>
      </c>
      <c r="B66" s="1">
        <v>277.55</v>
      </c>
      <c r="C66" s="1">
        <v>320.27999999999997</v>
      </c>
      <c r="D66" s="1">
        <v>485.5</v>
      </c>
      <c r="E66" s="1">
        <v>426.58</v>
      </c>
      <c r="F66" s="1">
        <v>229.16</v>
      </c>
      <c r="G66" s="1">
        <v>180.26</v>
      </c>
      <c r="H66" s="1">
        <v>289.95999999999998</v>
      </c>
      <c r="I66" s="1">
        <v>397.57</v>
      </c>
      <c r="K66">
        <f t="shared" si="0"/>
        <v>4.6838407494145251E-3</v>
      </c>
      <c r="L66">
        <f t="shared" si="1"/>
        <v>-4.9956288247776648E-4</v>
      </c>
      <c r="M66">
        <f t="shared" si="2"/>
        <v>1.3408856848609707E-2</v>
      </c>
      <c r="N66">
        <f t="shared" si="3"/>
        <v>8.4157719536781528E-3</v>
      </c>
      <c r="O66">
        <f t="shared" si="4"/>
        <v>1.7716879036481004E-2</v>
      </c>
      <c r="P66">
        <f t="shared" si="5"/>
        <v>-1.8084988350160813E-2</v>
      </c>
      <c r="Q66">
        <f t="shared" si="6"/>
        <v>5.3455649055043075E-3</v>
      </c>
      <c r="R66">
        <f t="shared" si="7"/>
        <v>1.355736096787985E-2</v>
      </c>
      <c r="W66">
        <f t="shared" si="8"/>
        <v>-4.9956288247776648E-4</v>
      </c>
      <c r="X66">
        <f t="shared" si="9"/>
        <v>-6.5829304120792521E-4</v>
      </c>
      <c r="AA66">
        <f t="shared" si="10"/>
        <v>-6.5829304120792521E-4</v>
      </c>
    </row>
    <row r="67" spans="1:27">
      <c r="A67" s="2">
        <v>45989.208333333328</v>
      </c>
      <c r="B67" s="1">
        <v>278.85000000000002</v>
      </c>
      <c r="C67" s="1">
        <v>320.12</v>
      </c>
      <c r="D67" s="1">
        <v>492.01</v>
      </c>
      <c r="E67" s="1">
        <v>430.17</v>
      </c>
      <c r="F67" s="1">
        <v>233.22</v>
      </c>
      <c r="G67" s="1">
        <v>177</v>
      </c>
      <c r="H67" s="1">
        <v>291.51</v>
      </c>
      <c r="I67" s="1">
        <v>402.96</v>
      </c>
      <c r="K67">
        <f t="shared" ref="K67:K101" si="11">B68/B67-1</f>
        <v>1.524116908732287E-2</v>
      </c>
      <c r="L67">
        <f t="shared" ref="L67:L101" si="12">C68/C67-1</f>
        <v>-1.5619142821441945E-2</v>
      </c>
      <c r="M67">
        <f t="shared" ref="M67:M101" si="13">D68/D67-1</f>
        <v>-1.0711164407227414E-2</v>
      </c>
      <c r="N67">
        <f t="shared" ref="N67:N101" si="14">E68/E67-1</f>
        <v>-6.9739870283913596E-5</v>
      </c>
      <c r="O67">
        <f t="shared" ref="O67:O101" si="15">F68/F67-1</f>
        <v>2.8299459737586297E-3</v>
      </c>
      <c r="P67">
        <f t="shared" ref="P67:P101" si="16">G68/G67-1</f>
        <v>1.6497175141242826E-2</v>
      </c>
      <c r="Q67">
        <f t="shared" ref="Q67:Q101" si="17">H68/H67-1</f>
        <v>-1.3138485815237799E-2</v>
      </c>
      <c r="R67">
        <f t="shared" ref="R67:R101" si="18">I68/I67-1</f>
        <v>-4.189001389716096E-2</v>
      </c>
      <c r="W67">
        <f t="shared" ref="W67:W101" si="19">IFERROR(K67,0)*$U$2 + IFERROR(L67,0)*$U$3 + IFERROR(M67,0)*$U$4 + IFERROR(N67,0)*$U$5 + IFERROR(O67,0)*$U$6 + IFERROR(P67,0)*$U$7 + IFERROR(Q67,0)*$U$8 + IFERROR(R67,0)*$U$9</f>
        <v>-1.5619142821441945E-2</v>
      </c>
      <c r="X67">
        <f t="shared" ref="X67:X101" si="20">W67-$Z$2</f>
        <v>-1.5777872980172105E-2</v>
      </c>
      <c r="AA67">
        <f t="shared" ref="AA67:AA101" si="21">MIN(0, W67-$Z$2)</f>
        <v>-1.5777872980172105E-2</v>
      </c>
    </row>
    <row r="68" spans="1:27">
      <c r="A68" s="2">
        <v>45992.208333333328</v>
      </c>
      <c r="B68" s="1">
        <v>283.10000000000002</v>
      </c>
      <c r="C68" s="1">
        <v>315.12</v>
      </c>
      <c r="D68" s="1">
        <v>486.74</v>
      </c>
      <c r="E68" s="1">
        <v>430.14</v>
      </c>
      <c r="F68" s="1">
        <v>233.88</v>
      </c>
      <c r="G68" s="1">
        <v>179.92</v>
      </c>
      <c r="H68" s="1">
        <v>287.68</v>
      </c>
      <c r="I68" s="1">
        <v>386.08</v>
      </c>
      <c r="K68">
        <f t="shared" si="11"/>
        <v>1.0914871070293097E-2</v>
      </c>
      <c r="L68">
        <f t="shared" si="12"/>
        <v>2.8560548362528415E-3</v>
      </c>
      <c r="M68">
        <f t="shared" si="13"/>
        <v>6.6976209064386616E-3</v>
      </c>
      <c r="N68">
        <f t="shared" si="14"/>
        <v>-2.0923420281768745E-3</v>
      </c>
      <c r="O68">
        <f t="shared" si="15"/>
        <v>2.3088763468444018E-3</v>
      </c>
      <c r="P68">
        <f t="shared" si="16"/>
        <v>8.5593597154292045E-3</v>
      </c>
      <c r="Q68">
        <f t="shared" si="17"/>
        <v>1.5329532814237989E-2</v>
      </c>
      <c r="R68">
        <f t="shared" si="18"/>
        <v>-1.1681516784086132E-2</v>
      </c>
      <c r="W68">
        <f t="shared" si="19"/>
        <v>2.8560548362528415E-3</v>
      </c>
      <c r="X68">
        <f t="shared" si="20"/>
        <v>2.697324677522683E-3</v>
      </c>
      <c r="AA68">
        <f t="shared" si="21"/>
        <v>0</v>
      </c>
    </row>
    <row r="69" spans="1:27">
      <c r="A69" s="2">
        <v>45993.208333333328</v>
      </c>
      <c r="B69" s="1">
        <v>286.19</v>
      </c>
      <c r="C69" s="1">
        <v>316.02</v>
      </c>
      <c r="D69" s="1">
        <v>490</v>
      </c>
      <c r="E69" s="1">
        <v>429.24</v>
      </c>
      <c r="F69" s="1">
        <v>234.42</v>
      </c>
      <c r="G69" s="1">
        <v>181.46</v>
      </c>
      <c r="H69" s="1">
        <v>292.08999999999997</v>
      </c>
      <c r="I69" s="1">
        <v>381.57</v>
      </c>
      <c r="K69">
        <f t="shared" si="11"/>
        <v>-7.1281316607848533E-3</v>
      </c>
      <c r="L69">
        <f t="shared" si="12"/>
        <v>1.4556040756914301E-2</v>
      </c>
      <c r="M69">
        <f t="shared" si="13"/>
        <v>-2.5040816326530546E-2</v>
      </c>
      <c r="N69">
        <f t="shared" si="14"/>
        <v>4.0769732550554494E-2</v>
      </c>
      <c r="O69">
        <f t="shared" si="15"/>
        <v>-8.7023291528026681E-3</v>
      </c>
      <c r="P69">
        <f t="shared" si="16"/>
        <v>-1.030530144384445E-2</v>
      </c>
      <c r="Q69">
        <f t="shared" si="17"/>
        <v>1.150330377623332E-2</v>
      </c>
      <c r="R69">
        <f t="shared" si="18"/>
        <v>-2.5159210629766005E-3</v>
      </c>
      <c r="W69">
        <f t="shared" si="19"/>
        <v>1.4556040756914301E-2</v>
      </c>
      <c r="X69">
        <f t="shared" si="20"/>
        <v>1.4397310598184143E-2</v>
      </c>
      <c r="AA69">
        <f t="shared" si="21"/>
        <v>0</v>
      </c>
    </row>
    <row r="70" spans="1:27">
      <c r="A70" s="2">
        <v>45994.208333333328</v>
      </c>
      <c r="B70" s="1">
        <v>284.14999999999998</v>
      </c>
      <c r="C70" s="1">
        <v>320.62</v>
      </c>
      <c r="D70" s="1">
        <v>477.73</v>
      </c>
      <c r="E70" s="1">
        <v>446.74</v>
      </c>
      <c r="F70" s="1">
        <v>232.38</v>
      </c>
      <c r="G70" s="1">
        <v>179.59</v>
      </c>
      <c r="H70" s="1">
        <v>295.45</v>
      </c>
      <c r="I70" s="1">
        <v>380.61</v>
      </c>
      <c r="K70">
        <f t="shared" si="11"/>
        <v>-1.2141474573288735E-2</v>
      </c>
      <c r="L70">
        <f t="shared" si="12"/>
        <v>-6.9552741563221332E-3</v>
      </c>
      <c r="M70">
        <f t="shared" si="13"/>
        <v>6.5099533209134197E-3</v>
      </c>
      <c r="N70">
        <f t="shared" si="14"/>
        <v>1.7437435644894084E-2</v>
      </c>
      <c r="O70">
        <f t="shared" si="15"/>
        <v>-1.4071778982700622E-2</v>
      </c>
      <c r="P70">
        <f t="shared" si="16"/>
        <v>2.1103624923436648E-2</v>
      </c>
      <c r="Q70">
        <f t="shared" si="17"/>
        <v>-8.529361990184392E-3</v>
      </c>
      <c r="R70">
        <f t="shared" si="18"/>
        <v>1.1034917632219976E-3</v>
      </c>
      <c r="W70">
        <f t="shared" si="19"/>
        <v>-6.9552741563221332E-3</v>
      </c>
      <c r="X70">
        <f t="shared" si="20"/>
        <v>-7.1140043150522917E-3</v>
      </c>
      <c r="AA70">
        <f t="shared" si="21"/>
        <v>-7.1140043150522917E-3</v>
      </c>
    </row>
    <row r="71" spans="1:27">
      <c r="A71" s="2">
        <v>45995.208333333328</v>
      </c>
      <c r="B71" s="1">
        <v>280.7</v>
      </c>
      <c r="C71" s="1">
        <v>318.39</v>
      </c>
      <c r="D71" s="1">
        <v>480.84</v>
      </c>
      <c r="E71" s="1">
        <v>454.53</v>
      </c>
      <c r="F71" s="1">
        <v>229.11</v>
      </c>
      <c r="G71" s="1">
        <v>183.38</v>
      </c>
      <c r="H71" s="1">
        <v>292.93</v>
      </c>
      <c r="I71" s="1">
        <v>381.03</v>
      </c>
      <c r="K71">
        <f t="shared" si="11"/>
        <v>-6.8400427502672834E-3</v>
      </c>
      <c r="L71">
        <f t="shared" si="12"/>
        <v>1.1620967995225939E-2</v>
      </c>
      <c r="M71">
        <f t="shared" si="13"/>
        <v>4.8248897762250831E-3</v>
      </c>
      <c r="N71">
        <f t="shared" si="14"/>
        <v>1.0340351571953565E-3</v>
      </c>
      <c r="O71">
        <f t="shared" si="15"/>
        <v>1.8331805682858526E-3</v>
      </c>
      <c r="P71">
        <f t="shared" si="16"/>
        <v>-5.2895626567782683E-3</v>
      </c>
      <c r="Q71">
        <f t="shared" si="17"/>
        <v>6.1106749052675102E-3</v>
      </c>
      <c r="R71">
        <f t="shared" si="18"/>
        <v>2.4171325092512408E-2</v>
      </c>
      <c r="W71">
        <f t="shared" si="19"/>
        <v>1.1620967995225939E-2</v>
      </c>
      <c r="X71">
        <f t="shared" si="20"/>
        <v>1.1462237836495781E-2</v>
      </c>
      <c r="AA71">
        <f t="shared" si="21"/>
        <v>0</v>
      </c>
    </row>
    <row r="72" spans="1:27">
      <c r="A72" s="2">
        <v>45996.208333333328</v>
      </c>
      <c r="B72" s="1">
        <v>278.77999999999997</v>
      </c>
      <c r="C72" s="1">
        <v>322.08999999999997</v>
      </c>
      <c r="D72" s="1">
        <v>483.16</v>
      </c>
      <c r="E72" s="1">
        <v>455</v>
      </c>
      <c r="F72" s="1">
        <v>229.53</v>
      </c>
      <c r="G72" s="1">
        <v>182.41</v>
      </c>
      <c r="H72" s="1">
        <v>294.72000000000003</v>
      </c>
      <c r="I72" s="1">
        <v>390.24</v>
      </c>
      <c r="K72">
        <f t="shared" si="11"/>
        <v>-3.192481526651747E-3</v>
      </c>
      <c r="L72">
        <f t="shared" si="12"/>
        <v>-2.3720078239001463E-2</v>
      </c>
      <c r="M72">
        <f t="shared" si="13"/>
        <v>1.6267902972100234E-2</v>
      </c>
      <c r="N72">
        <f t="shared" si="14"/>
        <v>-3.3890109890109876E-2</v>
      </c>
      <c r="O72">
        <f t="shared" si="15"/>
        <v>-1.1501764475232101E-2</v>
      </c>
      <c r="P72">
        <f t="shared" si="16"/>
        <v>1.7213968532427071E-2</v>
      </c>
      <c r="Q72">
        <f t="shared" si="17"/>
        <v>2.4260314875135691E-2</v>
      </c>
      <c r="R72">
        <f t="shared" si="18"/>
        <v>2.7829028290282887E-2</v>
      </c>
      <c r="W72">
        <f t="shared" si="19"/>
        <v>-2.3720078239001463E-2</v>
      </c>
      <c r="X72">
        <f t="shared" si="20"/>
        <v>-2.3878808397731623E-2</v>
      </c>
      <c r="AA72">
        <f t="shared" si="21"/>
        <v>-2.3878808397731623E-2</v>
      </c>
    </row>
    <row r="73" spans="1:27">
      <c r="A73" s="2">
        <v>45999.208333333328</v>
      </c>
      <c r="B73" s="1">
        <v>277.89</v>
      </c>
      <c r="C73" s="1">
        <v>314.45</v>
      </c>
      <c r="D73" s="1">
        <v>491.02</v>
      </c>
      <c r="E73" s="1">
        <v>439.58</v>
      </c>
      <c r="F73" s="1">
        <v>226.89</v>
      </c>
      <c r="G73" s="1">
        <v>185.55</v>
      </c>
      <c r="H73" s="1">
        <v>301.87</v>
      </c>
      <c r="I73" s="1">
        <v>401.1</v>
      </c>
      <c r="K73">
        <f t="shared" si="11"/>
        <v>-2.5549677930115644E-3</v>
      </c>
      <c r="L73">
        <f t="shared" si="12"/>
        <v>1.0494514231197405E-2</v>
      </c>
      <c r="M73">
        <f t="shared" si="13"/>
        <v>2.0365769215102691E-3</v>
      </c>
      <c r="N73">
        <f t="shared" si="14"/>
        <v>1.2716684107557219E-2</v>
      </c>
      <c r="O73">
        <f t="shared" si="15"/>
        <v>4.5396447617789271E-3</v>
      </c>
      <c r="P73">
        <f t="shared" si="16"/>
        <v>-3.1258420910806883E-3</v>
      </c>
      <c r="Q73">
        <f t="shared" si="17"/>
        <v>5.1015337728161914E-3</v>
      </c>
      <c r="R73">
        <f t="shared" si="18"/>
        <v>1.2939416604338172E-2</v>
      </c>
      <c r="W73">
        <f t="shared" si="19"/>
        <v>1.0494514231197405E-2</v>
      </c>
      <c r="X73">
        <f t="shared" si="20"/>
        <v>1.0335784072467246E-2</v>
      </c>
      <c r="AA73">
        <f t="shared" si="21"/>
        <v>0</v>
      </c>
    </row>
    <row r="74" spans="1:27">
      <c r="A74" s="2">
        <v>46000.208333333328</v>
      </c>
      <c r="B74" s="1">
        <v>277.18</v>
      </c>
      <c r="C74" s="1">
        <v>317.75</v>
      </c>
      <c r="D74" s="1">
        <v>492.02</v>
      </c>
      <c r="E74" s="1">
        <v>445.17</v>
      </c>
      <c r="F74" s="1">
        <v>227.92</v>
      </c>
      <c r="G74" s="1">
        <v>184.97</v>
      </c>
      <c r="H74" s="1">
        <v>303.41000000000003</v>
      </c>
      <c r="I74" s="1">
        <v>406.29</v>
      </c>
      <c r="K74">
        <f t="shared" si="11"/>
        <v>5.7724222526875923E-3</v>
      </c>
      <c r="L74">
        <f t="shared" si="12"/>
        <v>1.0228166797797034E-2</v>
      </c>
      <c r="M74">
        <f t="shared" si="13"/>
        <v>-2.735661151985691E-2</v>
      </c>
      <c r="N74">
        <f t="shared" si="14"/>
        <v>1.4106970370869387E-2</v>
      </c>
      <c r="O74">
        <f t="shared" si="15"/>
        <v>1.6935766935767038E-2</v>
      </c>
      <c r="P74">
        <f t="shared" si="16"/>
        <v>-6.433475698761959E-3</v>
      </c>
      <c r="Q74">
        <f t="shared" si="17"/>
        <v>2.2181206947694321E-2</v>
      </c>
      <c r="R74">
        <f t="shared" si="18"/>
        <v>1.6441458071820625E-2</v>
      </c>
      <c r="W74">
        <f t="shared" si="19"/>
        <v>1.0228166797797034E-2</v>
      </c>
      <c r="X74">
        <f t="shared" si="20"/>
        <v>1.0069436639066875E-2</v>
      </c>
      <c r="AA74">
        <f t="shared" si="21"/>
        <v>0</v>
      </c>
    </row>
    <row r="75" spans="1:27">
      <c r="A75" s="2">
        <v>46001.208333333328</v>
      </c>
      <c r="B75" s="1">
        <v>278.77999999999997</v>
      </c>
      <c r="C75" s="1">
        <v>321</v>
      </c>
      <c r="D75" s="1">
        <v>478.56</v>
      </c>
      <c r="E75" s="1">
        <v>451.45</v>
      </c>
      <c r="F75" s="1">
        <v>231.78</v>
      </c>
      <c r="G75" s="1">
        <v>183.78</v>
      </c>
      <c r="H75" s="1">
        <v>310.14</v>
      </c>
      <c r="I75" s="1">
        <v>412.97</v>
      </c>
      <c r="K75">
        <f t="shared" si="11"/>
        <v>-2.6902934213358654E-3</v>
      </c>
      <c r="L75">
        <f t="shared" si="12"/>
        <v>-2.2741433021806867E-2</v>
      </c>
      <c r="M75">
        <f t="shared" si="13"/>
        <v>1.0259946506185225E-2</v>
      </c>
      <c r="N75">
        <f t="shared" si="14"/>
        <v>-1.0100786355078051E-2</v>
      </c>
      <c r="O75">
        <f t="shared" si="15"/>
        <v>-6.4716541548019979E-3</v>
      </c>
      <c r="P75">
        <f t="shared" si="16"/>
        <v>-1.5507672216780954E-2</v>
      </c>
      <c r="Q75">
        <f t="shared" si="17"/>
        <v>-1.7056813052169884E-2</v>
      </c>
      <c r="R75">
        <f t="shared" si="18"/>
        <v>-1.5981790444826505E-2</v>
      </c>
      <c r="W75">
        <f t="shared" si="19"/>
        <v>-2.2741433021806867E-2</v>
      </c>
      <c r="X75">
        <f t="shared" si="20"/>
        <v>-2.2900163180537027E-2</v>
      </c>
      <c r="AA75">
        <f t="shared" si="21"/>
        <v>-2.2900163180537027E-2</v>
      </c>
    </row>
    <row r="76" spans="1:27">
      <c r="A76" s="2">
        <v>46002.208333333328</v>
      </c>
      <c r="B76" s="1">
        <v>278.02999999999997</v>
      </c>
      <c r="C76" s="1">
        <v>313.7</v>
      </c>
      <c r="D76" s="1">
        <v>483.47</v>
      </c>
      <c r="E76" s="1">
        <v>446.89</v>
      </c>
      <c r="F76" s="1">
        <v>230.28</v>
      </c>
      <c r="G76" s="1">
        <v>180.93</v>
      </c>
      <c r="H76" s="1">
        <v>304.85000000000002</v>
      </c>
      <c r="I76" s="1">
        <v>406.37</v>
      </c>
      <c r="K76">
        <f t="shared" si="11"/>
        <v>8.9918354134455036E-4</v>
      </c>
      <c r="L76">
        <f t="shared" si="12"/>
        <v>-1.0137073637233041E-2</v>
      </c>
      <c r="M76">
        <f t="shared" si="13"/>
        <v>-1.0217800484001227E-2</v>
      </c>
      <c r="N76">
        <f t="shared" si="14"/>
        <v>2.7008883617892554E-2</v>
      </c>
      <c r="O76">
        <f t="shared" si="15"/>
        <v>-1.776098662497827E-2</v>
      </c>
      <c r="P76">
        <f t="shared" si="16"/>
        <v>-3.2664566406897633E-2</v>
      </c>
      <c r="Q76">
        <f t="shared" si="17"/>
        <v>-4.2020665901262966E-2</v>
      </c>
      <c r="R76">
        <f t="shared" si="18"/>
        <v>-0.1142800895735413</v>
      </c>
      <c r="W76">
        <f t="shared" si="19"/>
        <v>-1.0137073637233041E-2</v>
      </c>
      <c r="X76">
        <f t="shared" si="20"/>
        <v>-1.0295803795963199E-2</v>
      </c>
      <c r="AA76">
        <f t="shared" si="21"/>
        <v>-1.0295803795963199E-2</v>
      </c>
    </row>
    <row r="77" spans="1:27">
      <c r="A77" s="2">
        <v>46003.208333333328</v>
      </c>
      <c r="B77" s="1">
        <v>278.27999999999997</v>
      </c>
      <c r="C77" s="1">
        <v>310.52</v>
      </c>
      <c r="D77" s="1">
        <v>478.53</v>
      </c>
      <c r="E77" s="1">
        <v>458.96</v>
      </c>
      <c r="F77" s="1">
        <v>226.19</v>
      </c>
      <c r="G77" s="1">
        <v>175.02</v>
      </c>
      <c r="H77" s="1">
        <v>292.04000000000002</v>
      </c>
      <c r="I77" s="1">
        <v>359.93</v>
      </c>
      <c r="K77">
        <f t="shared" si="11"/>
        <v>-1.4984907287623805E-2</v>
      </c>
      <c r="L77">
        <f t="shared" si="12"/>
        <v>-3.8644853793635692E-3</v>
      </c>
      <c r="M77">
        <f t="shared" si="13"/>
        <v>-7.7529099533989454E-3</v>
      </c>
      <c r="N77">
        <f t="shared" si="14"/>
        <v>3.5624019522398465E-2</v>
      </c>
      <c r="O77">
        <f t="shared" si="15"/>
        <v>-1.6136876077633922E-2</v>
      </c>
      <c r="P77">
        <f t="shared" si="16"/>
        <v>7.2563135641638965E-3</v>
      </c>
      <c r="Q77">
        <f t="shared" si="17"/>
        <v>-1.4724010409532973E-2</v>
      </c>
      <c r="R77">
        <f t="shared" si="18"/>
        <v>-5.5899758286333423E-2</v>
      </c>
      <c r="W77">
        <f t="shared" si="19"/>
        <v>-3.8644853793635692E-3</v>
      </c>
      <c r="X77">
        <f t="shared" si="20"/>
        <v>-4.0232155380937277E-3</v>
      </c>
      <c r="AA77">
        <f t="shared" si="21"/>
        <v>-4.0232155380937277E-3</v>
      </c>
    </row>
    <row r="78" spans="1:27">
      <c r="A78" s="2">
        <v>46006.208333333328</v>
      </c>
      <c r="B78" s="1">
        <v>274.11</v>
      </c>
      <c r="C78" s="1">
        <v>309.32</v>
      </c>
      <c r="D78" s="1">
        <v>474.82</v>
      </c>
      <c r="E78" s="1">
        <v>475.31</v>
      </c>
      <c r="F78" s="1">
        <v>222.54</v>
      </c>
      <c r="G78" s="1">
        <v>176.29</v>
      </c>
      <c r="H78" s="1">
        <v>287.74</v>
      </c>
      <c r="I78" s="1">
        <v>339.81</v>
      </c>
      <c r="K78">
        <f t="shared" si="11"/>
        <v>1.8240852212614289E-3</v>
      </c>
      <c r="L78">
        <f t="shared" si="12"/>
        <v>-5.1403077718866763E-3</v>
      </c>
      <c r="M78">
        <f t="shared" si="13"/>
        <v>3.306516153489758E-3</v>
      </c>
      <c r="N78">
        <f t="shared" si="14"/>
        <v>3.0653678651827221E-2</v>
      </c>
      <c r="O78">
        <f t="shared" si="15"/>
        <v>8.9871483778258821E-5</v>
      </c>
      <c r="P78">
        <f t="shared" si="16"/>
        <v>8.1116342390379348E-3</v>
      </c>
      <c r="Q78">
        <f t="shared" si="17"/>
        <v>-3.0235629387641572E-3</v>
      </c>
      <c r="R78">
        <f t="shared" si="18"/>
        <v>4.3848032724169705E-3</v>
      </c>
      <c r="W78">
        <f t="shared" si="19"/>
        <v>-5.1403077718866763E-3</v>
      </c>
      <c r="X78">
        <f t="shared" si="20"/>
        <v>-5.2990379306168348E-3</v>
      </c>
      <c r="AA78">
        <f t="shared" si="21"/>
        <v>-5.2990379306168348E-3</v>
      </c>
    </row>
    <row r="79" spans="1:27">
      <c r="A79" s="2">
        <v>46007.208333333328</v>
      </c>
      <c r="B79" s="1">
        <v>274.61</v>
      </c>
      <c r="C79" s="1">
        <v>307.73</v>
      </c>
      <c r="D79" s="1">
        <v>476.39</v>
      </c>
      <c r="E79" s="1">
        <v>489.88</v>
      </c>
      <c r="F79" s="1">
        <v>222.56</v>
      </c>
      <c r="G79" s="1">
        <v>177.72</v>
      </c>
      <c r="H79" s="1">
        <v>286.87</v>
      </c>
      <c r="I79" s="1">
        <v>341.3</v>
      </c>
      <c r="K79">
        <f t="shared" si="11"/>
        <v>-1.0087032518845018E-2</v>
      </c>
      <c r="L79">
        <f t="shared" si="12"/>
        <v>-3.1423650602801168E-2</v>
      </c>
      <c r="M79">
        <f t="shared" si="13"/>
        <v>-5.6676252650134096E-4</v>
      </c>
      <c r="N79">
        <f t="shared" si="14"/>
        <v>-4.6174573364905713E-2</v>
      </c>
      <c r="O79">
        <f t="shared" si="15"/>
        <v>-5.7961897915168592E-3</v>
      </c>
      <c r="P79">
        <f t="shared" si="16"/>
        <v>-3.8149898717083075E-2</v>
      </c>
      <c r="Q79">
        <f t="shared" si="17"/>
        <v>-3.4545264405479892E-2</v>
      </c>
      <c r="R79">
        <f t="shared" si="18"/>
        <v>-4.476999707002649E-2</v>
      </c>
      <c r="W79">
        <f t="shared" si="19"/>
        <v>-3.1423650602801168E-2</v>
      </c>
      <c r="X79">
        <f t="shared" si="20"/>
        <v>-3.1582380761531324E-2</v>
      </c>
      <c r="AA79">
        <f t="shared" si="21"/>
        <v>-3.1582380761531324E-2</v>
      </c>
    </row>
    <row r="80" spans="1:27">
      <c r="A80" s="2">
        <v>46008.208333333328</v>
      </c>
      <c r="B80" s="1">
        <v>271.83999999999997</v>
      </c>
      <c r="C80" s="1">
        <v>298.06</v>
      </c>
      <c r="D80" s="1">
        <v>476.12</v>
      </c>
      <c r="E80" s="1">
        <v>467.26</v>
      </c>
      <c r="F80" s="1">
        <v>221.27</v>
      </c>
      <c r="G80" s="1">
        <v>170.94</v>
      </c>
      <c r="H80" s="1">
        <v>276.95999999999998</v>
      </c>
      <c r="I80" s="1">
        <v>326.02</v>
      </c>
      <c r="K80">
        <f t="shared" si="11"/>
        <v>1.2875220718069347E-3</v>
      </c>
      <c r="L80">
        <f t="shared" si="12"/>
        <v>1.9090116084010011E-2</v>
      </c>
      <c r="M80">
        <f t="shared" si="13"/>
        <v>1.650844324960099E-2</v>
      </c>
      <c r="N80">
        <f t="shared" si="14"/>
        <v>3.4477592774900589E-2</v>
      </c>
      <c r="O80">
        <f t="shared" si="15"/>
        <v>2.4811316491164526E-2</v>
      </c>
      <c r="P80">
        <f t="shared" si="16"/>
        <v>1.8720018720018716E-2</v>
      </c>
      <c r="Q80">
        <f t="shared" si="17"/>
        <v>2.7874061236279779E-2</v>
      </c>
      <c r="R80">
        <f t="shared" si="18"/>
        <v>1.1839764431629929E-2</v>
      </c>
      <c r="W80">
        <f t="shared" si="19"/>
        <v>1.9090116084010011E-2</v>
      </c>
      <c r="X80">
        <f t="shared" si="20"/>
        <v>1.8931385925279851E-2</v>
      </c>
      <c r="AA80">
        <f t="shared" si="21"/>
        <v>0</v>
      </c>
    </row>
    <row r="81" spans="1:27">
      <c r="A81" s="2">
        <v>46009.208333333328</v>
      </c>
      <c r="B81" s="1">
        <v>272.19</v>
      </c>
      <c r="C81" s="1">
        <v>303.75</v>
      </c>
      <c r="D81" s="1">
        <v>483.98</v>
      </c>
      <c r="E81" s="1">
        <v>483.37</v>
      </c>
      <c r="F81" s="1">
        <v>226.76</v>
      </c>
      <c r="G81" s="1">
        <v>174.14</v>
      </c>
      <c r="H81" s="1">
        <v>284.68</v>
      </c>
      <c r="I81" s="1">
        <v>329.88</v>
      </c>
      <c r="K81">
        <f t="shared" si="11"/>
        <v>5.4373783019214805E-3</v>
      </c>
      <c r="L81">
        <f t="shared" si="12"/>
        <v>1.6000000000000014E-2</v>
      </c>
      <c r="M81">
        <f t="shared" si="13"/>
        <v>4.0084301004172929E-3</v>
      </c>
      <c r="N81">
        <f t="shared" si="14"/>
        <v>-4.4893146037197074E-3</v>
      </c>
      <c r="O81">
        <f t="shared" si="15"/>
        <v>2.6018698183101208E-3</v>
      </c>
      <c r="P81">
        <f t="shared" si="16"/>
        <v>3.9336166302974762E-2</v>
      </c>
      <c r="Q81">
        <f t="shared" si="17"/>
        <v>1.4999297456793625E-2</v>
      </c>
      <c r="R81">
        <f t="shared" si="18"/>
        <v>3.1769128167818739E-2</v>
      </c>
      <c r="W81">
        <f t="shared" si="19"/>
        <v>1.6000000000000014E-2</v>
      </c>
      <c r="X81">
        <f t="shared" si="20"/>
        <v>1.5841269841269854E-2</v>
      </c>
      <c r="AA81">
        <f t="shared" si="21"/>
        <v>0</v>
      </c>
    </row>
    <row r="82" spans="1:27">
      <c r="A82" s="2">
        <v>46010.208333333328</v>
      </c>
      <c r="B82" s="1">
        <v>273.67</v>
      </c>
      <c r="C82" s="1">
        <v>308.61</v>
      </c>
      <c r="D82" s="1">
        <v>485.92</v>
      </c>
      <c r="E82" s="1">
        <v>481.2</v>
      </c>
      <c r="F82" s="1">
        <v>227.35</v>
      </c>
      <c r="G82" s="1">
        <v>180.99</v>
      </c>
      <c r="H82" s="1">
        <v>288.95</v>
      </c>
      <c r="I82" s="1">
        <v>340.36</v>
      </c>
      <c r="K82">
        <f t="shared" si="11"/>
        <v>-9.8658968831073501E-3</v>
      </c>
      <c r="L82">
        <f t="shared" si="12"/>
        <v>8.8137131006771341E-3</v>
      </c>
      <c r="M82">
        <f t="shared" si="13"/>
        <v>-2.057951926243029E-3</v>
      </c>
      <c r="N82">
        <f t="shared" si="14"/>
        <v>1.5648379052369155E-2</v>
      </c>
      <c r="O82">
        <f t="shared" si="15"/>
        <v>4.750384869144586E-3</v>
      </c>
      <c r="P82">
        <f t="shared" si="16"/>
        <v>1.4917951268025753E-2</v>
      </c>
      <c r="Q82">
        <f t="shared" si="17"/>
        <v>1.4985291572936488E-2</v>
      </c>
      <c r="R82">
        <f t="shared" si="18"/>
        <v>3.2024914796098258E-3</v>
      </c>
      <c r="W82">
        <f t="shared" si="19"/>
        <v>8.8137131006771341E-3</v>
      </c>
      <c r="X82">
        <f t="shared" si="20"/>
        <v>8.6549829419469756E-3</v>
      </c>
      <c r="AA82">
        <f t="shared" si="21"/>
        <v>0</v>
      </c>
    </row>
    <row r="83" spans="1:27">
      <c r="A83" s="2">
        <v>46013.208333333328</v>
      </c>
      <c r="B83" s="1">
        <v>270.97000000000003</v>
      </c>
      <c r="C83" s="1">
        <v>311.33</v>
      </c>
      <c r="D83" s="1">
        <v>484.92</v>
      </c>
      <c r="E83" s="1">
        <v>488.73</v>
      </c>
      <c r="F83" s="1">
        <v>228.43</v>
      </c>
      <c r="G83" s="1">
        <v>183.69</v>
      </c>
      <c r="H83" s="1">
        <v>293.27999999999997</v>
      </c>
      <c r="I83" s="1">
        <v>341.45</v>
      </c>
      <c r="K83">
        <f t="shared" si="11"/>
        <v>5.1297191571022527E-3</v>
      </c>
      <c r="L83">
        <f t="shared" si="12"/>
        <v>1.3972312337391157E-2</v>
      </c>
      <c r="M83">
        <f t="shared" si="13"/>
        <v>3.9800379444032696E-3</v>
      </c>
      <c r="N83">
        <f t="shared" si="14"/>
        <v>-6.4861989237411377E-3</v>
      </c>
      <c r="O83">
        <f t="shared" si="15"/>
        <v>1.6241299303944245E-2</v>
      </c>
      <c r="P83">
        <f t="shared" si="16"/>
        <v>3.0050628776743471E-2</v>
      </c>
      <c r="Q83">
        <f t="shared" si="17"/>
        <v>1.2513638843426156E-2</v>
      </c>
      <c r="R83">
        <f t="shared" si="18"/>
        <v>2.3048762629960473E-2</v>
      </c>
      <c r="W83">
        <f t="shared" si="19"/>
        <v>1.3972312337391157E-2</v>
      </c>
      <c r="X83">
        <f t="shared" si="20"/>
        <v>1.3813582178660999E-2</v>
      </c>
      <c r="AA83">
        <f t="shared" si="21"/>
        <v>0</v>
      </c>
    </row>
    <row r="84" spans="1:27">
      <c r="A84" s="2">
        <v>46014.208333333328</v>
      </c>
      <c r="B84" s="1">
        <v>272.36</v>
      </c>
      <c r="C84" s="1">
        <v>315.68</v>
      </c>
      <c r="D84" s="1">
        <v>486.85</v>
      </c>
      <c r="E84" s="1">
        <v>485.56</v>
      </c>
      <c r="F84" s="1">
        <v>232.14</v>
      </c>
      <c r="G84" s="1">
        <v>189.21</v>
      </c>
      <c r="H84" s="1">
        <v>296.95</v>
      </c>
      <c r="I84" s="1">
        <v>349.32</v>
      </c>
      <c r="K84">
        <f t="shared" si="11"/>
        <v>5.3238360992802214E-3</v>
      </c>
      <c r="L84">
        <f t="shared" si="12"/>
        <v>-3.1677648251404733E-5</v>
      </c>
      <c r="M84">
        <f t="shared" si="13"/>
        <v>2.4032042723629576E-3</v>
      </c>
      <c r="N84">
        <f t="shared" si="14"/>
        <v>-3.2951643463219327E-4</v>
      </c>
      <c r="O84">
        <f t="shared" si="15"/>
        <v>1.0338588782632385E-3</v>
      </c>
      <c r="P84">
        <f t="shared" si="16"/>
        <v>-3.1710797526557366E-3</v>
      </c>
      <c r="Q84">
        <f t="shared" si="17"/>
        <v>6.2300050513555139E-3</v>
      </c>
      <c r="R84">
        <f t="shared" si="18"/>
        <v>2.5764342150464969E-3</v>
      </c>
      <c r="W84">
        <f t="shared" si="19"/>
        <v>-3.1677648251404733E-5</v>
      </c>
      <c r="X84">
        <f t="shared" si="20"/>
        <v>-1.9040780698156346E-4</v>
      </c>
      <c r="AA84">
        <f t="shared" si="21"/>
        <v>-1.9040780698156346E-4</v>
      </c>
    </row>
    <row r="85" spans="1:27">
      <c r="A85" s="2">
        <v>46015.208333333328</v>
      </c>
      <c r="B85" s="1">
        <v>273.81</v>
      </c>
      <c r="C85" s="1">
        <v>315.67</v>
      </c>
      <c r="D85" s="1">
        <v>488.02</v>
      </c>
      <c r="E85" s="1">
        <v>485.4</v>
      </c>
      <c r="F85" s="1">
        <v>232.38</v>
      </c>
      <c r="G85" s="1">
        <v>188.61</v>
      </c>
      <c r="H85" s="1">
        <v>298.8</v>
      </c>
      <c r="I85" s="1">
        <v>350.22</v>
      </c>
      <c r="K85">
        <f t="shared" si="11"/>
        <v>-1.4973887001936692E-3</v>
      </c>
      <c r="L85">
        <f t="shared" si="12"/>
        <v>-2.2491842747174307E-3</v>
      </c>
      <c r="M85">
        <f t="shared" si="13"/>
        <v>-6.3521986803816155E-4</v>
      </c>
      <c r="N85">
        <f t="shared" si="14"/>
        <v>-2.1034198599093501E-2</v>
      </c>
      <c r="O85">
        <f t="shared" si="15"/>
        <v>6.0246148549802925E-4</v>
      </c>
      <c r="P85">
        <f t="shared" si="16"/>
        <v>1.0179735963098402E-2</v>
      </c>
      <c r="Q85">
        <f t="shared" si="17"/>
        <v>1.3520749665327791E-2</v>
      </c>
      <c r="R85">
        <f t="shared" si="18"/>
        <v>5.453714807835075E-3</v>
      </c>
      <c r="W85">
        <f t="shared" si="19"/>
        <v>-2.2491842747174307E-3</v>
      </c>
      <c r="X85">
        <f t="shared" si="20"/>
        <v>-2.4079144334475892E-3</v>
      </c>
      <c r="AA85">
        <f t="shared" si="21"/>
        <v>-2.4079144334475892E-3</v>
      </c>
    </row>
    <row r="86" spans="1:27">
      <c r="A86" s="2">
        <v>46017.208333333328</v>
      </c>
      <c r="B86" s="1">
        <v>273.39999999999998</v>
      </c>
      <c r="C86" s="1">
        <v>314.95999999999998</v>
      </c>
      <c r="D86" s="1">
        <v>487.71</v>
      </c>
      <c r="E86" s="1">
        <v>475.19</v>
      </c>
      <c r="F86" s="1">
        <v>232.52</v>
      </c>
      <c r="G86" s="1">
        <v>190.53</v>
      </c>
      <c r="H86" s="1">
        <v>302.83999999999997</v>
      </c>
      <c r="I86" s="1">
        <v>352.13</v>
      </c>
      <c r="K86">
        <f t="shared" si="11"/>
        <v>1.3167520117045584E-3</v>
      </c>
      <c r="L86">
        <f t="shared" si="12"/>
        <v>-1.8097536195071928E-3</v>
      </c>
      <c r="M86">
        <f t="shared" si="13"/>
        <v>-1.2507432695658682E-3</v>
      </c>
      <c r="N86">
        <f t="shared" si="14"/>
        <v>-3.2723752604221445E-2</v>
      </c>
      <c r="O86">
        <f t="shared" si="15"/>
        <v>-1.935317392052327E-3</v>
      </c>
      <c r="P86">
        <f t="shared" si="16"/>
        <v>-1.2124074948826946E-2</v>
      </c>
      <c r="Q86">
        <f t="shared" si="17"/>
        <v>-6.3399815083871047E-3</v>
      </c>
      <c r="R86">
        <f t="shared" si="18"/>
        <v>-7.7812171641155059E-3</v>
      </c>
      <c r="W86">
        <f t="shared" si="19"/>
        <v>-1.8097536195071928E-3</v>
      </c>
      <c r="X86">
        <f t="shared" si="20"/>
        <v>-1.9684837782373513E-3</v>
      </c>
      <c r="AA86">
        <f t="shared" si="21"/>
        <v>-1.9684837782373513E-3</v>
      </c>
    </row>
    <row r="87" spans="1:27">
      <c r="A87" s="2">
        <v>46020.208333333328</v>
      </c>
      <c r="B87" s="1">
        <v>273.76</v>
      </c>
      <c r="C87" s="1">
        <v>314.39</v>
      </c>
      <c r="D87" s="1">
        <v>487.1</v>
      </c>
      <c r="E87" s="1">
        <v>459.64</v>
      </c>
      <c r="F87" s="1">
        <v>232.07</v>
      </c>
      <c r="G87" s="1">
        <v>188.22</v>
      </c>
      <c r="H87" s="1">
        <v>300.92</v>
      </c>
      <c r="I87" s="1">
        <v>349.39</v>
      </c>
      <c r="K87">
        <f t="shared" si="11"/>
        <v>-2.4839275277616091E-3</v>
      </c>
      <c r="L87">
        <f t="shared" si="12"/>
        <v>5.0892203950514414E-4</v>
      </c>
      <c r="M87">
        <f t="shared" si="13"/>
        <v>7.8012728392518049E-4</v>
      </c>
      <c r="N87">
        <f t="shared" si="14"/>
        <v>-1.1334957793055378E-2</v>
      </c>
      <c r="O87">
        <f t="shared" si="15"/>
        <v>1.982160555004997E-3</v>
      </c>
      <c r="P87">
        <f t="shared" si="16"/>
        <v>-3.6127935394750788E-3</v>
      </c>
      <c r="Q87">
        <f t="shared" si="17"/>
        <v>-4.4530107669813468E-3</v>
      </c>
      <c r="R87">
        <f t="shared" si="18"/>
        <v>1.3165803257106923E-3</v>
      </c>
      <c r="W87">
        <f t="shared" si="19"/>
        <v>5.0892203950514414E-4</v>
      </c>
      <c r="X87">
        <f t="shared" si="20"/>
        <v>3.5019188077498541E-4</v>
      </c>
      <c r="AA87">
        <f t="shared" si="21"/>
        <v>0</v>
      </c>
    </row>
    <row r="88" spans="1:27">
      <c r="A88" s="2">
        <v>46021.208333333328</v>
      </c>
      <c r="B88" s="1">
        <v>273.08</v>
      </c>
      <c r="C88" s="1">
        <v>314.55</v>
      </c>
      <c r="D88" s="1">
        <v>487.48</v>
      </c>
      <c r="E88" s="1">
        <v>454.43</v>
      </c>
      <c r="F88" s="1">
        <v>232.53</v>
      </c>
      <c r="G88" s="1">
        <v>187.54</v>
      </c>
      <c r="H88" s="1">
        <v>299.58</v>
      </c>
      <c r="I88" s="1">
        <v>349.85</v>
      </c>
      <c r="K88">
        <f t="shared" si="11"/>
        <v>-4.4675552951515263E-3</v>
      </c>
      <c r="L88">
        <f t="shared" si="12"/>
        <v>-2.384358607534609E-3</v>
      </c>
      <c r="M88">
        <f t="shared" si="13"/>
        <v>-7.9182735701978091E-3</v>
      </c>
      <c r="N88">
        <f t="shared" si="14"/>
        <v>-1.0364632616684633E-2</v>
      </c>
      <c r="O88">
        <f t="shared" si="15"/>
        <v>-7.3538898206683134E-3</v>
      </c>
      <c r="P88">
        <f t="shared" si="16"/>
        <v>-5.5454836301588317E-3</v>
      </c>
      <c r="Q88">
        <f t="shared" si="17"/>
        <v>1.4386808198143974E-2</v>
      </c>
      <c r="R88">
        <f t="shared" si="18"/>
        <v>-1.0718879519794222E-2</v>
      </c>
      <c r="W88">
        <f t="shared" si="19"/>
        <v>-2.384358607534609E-3</v>
      </c>
      <c r="X88">
        <f t="shared" si="20"/>
        <v>-2.5430887662647676E-3</v>
      </c>
      <c r="AA88">
        <f t="shared" si="21"/>
        <v>-2.5430887662647676E-3</v>
      </c>
    </row>
    <row r="89" spans="1:27">
      <c r="A89" s="2">
        <v>46022.208333333328</v>
      </c>
      <c r="B89" s="1">
        <v>271.86</v>
      </c>
      <c r="C89" s="1">
        <v>313.8</v>
      </c>
      <c r="D89" s="1">
        <v>483.62</v>
      </c>
      <c r="E89" s="1">
        <v>449.72</v>
      </c>
      <c r="F89" s="1">
        <v>230.82</v>
      </c>
      <c r="G89" s="1">
        <v>186.5</v>
      </c>
      <c r="H89" s="1">
        <v>303.89</v>
      </c>
      <c r="I89" s="1">
        <v>346.1</v>
      </c>
      <c r="K89">
        <f t="shared" si="11"/>
        <v>-3.1266092841905069E-3</v>
      </c>
      <c r="L89">
        <f t="shared" si="12"/>
        <v>4.8438495857232589E-3</v>
      </c>
      <c r="M89">
        <f t="shared" si="13"/>
        <v>-2.2083453951449505E-2</v>
      </c>
      <c r="N89">
        <f t="shared" si="14"/>
        <v>-2.5905007560259818E-2</v>
      </c>
      <c r="O89">
        <f t="shared" si="15"/>
        <v>-1.8715882505848658E-2</v>
      </c>
      <c r="P89">
        <f t="shared" si="16"/>
        <v>1.2600536193029477E-2</v>
      </c>
      <c r="Q89">
        <f t="shared" si="17"/>
        <v>5.1729244134390839E-2</v>
      </c>
      <c r="R89">
        <f t="shared" si="18"/>
        <v>4.3917942791100728E-3</v>
      </c>
      <c r="W89">
        <f t="shared" si="19"/>
        <v>4.8438495857232589E-3</v>
      </c>
      <c r="X89">
        <f t="shared" si="20"/>
        <v>4.6851194269931003E-3</v>
      </c>
      <c r="AA89">
        <f t="shared" si="21"/>
        <v>0</v>
      </c>
    </row>
    <row r="90" spans="1:27">
      <c r="A90" s="2">
        <v>46024.208333333328</v>
      </c>
      <c r="B90" s="1">
        <v>271.01</v>
      </c>
      <c r="C90" s="1">
        <v>315.32</v>
      </c>
      <c r="D90" s="1">
        <v>472.94</v>
      </c>
      <c r="E90" s="1">
        <v>438.07</v>
      </c>
      <c r="F90" s="1">
        <v>226.5</v>
      </c>
      <c r="G90" s="1">
        <v>188.85</v>
      </c>
      <c r="H90" s="1">
        <v>319.61</v>
      </c>
      <c r="I90" s="1">
        <v>347.62</v>
      </c>
      <c r="K90">
        <f t="shared" si="11"/>
        <v>-1.383712778126267E-2</v>
      </c>
      <c r="L90">
        <f t="shared" si="12"/>
        <v>6.3427629075225589E-3</v>
      </c>
      <c r="M90">
        <f t="shared" si="13"/>
        <v>-1.9029898084321761E-4</v>
      </c>
      <c r="N90">
        <f t="shared" si="14"/>
        <v>3.1045266738192634E-2</v>
      </c>
      <c r="O90">
        <f t="shared" si="15"/>
        <v>2.8962472406180995E-2</v>
      </c>
      <c r="P90">
        <f t="shared" si="16"/>
        <v>-3.8655017209424658E-3</v>
      </c>
      <c r="Q90">
        <f t="shared" si="17"/>
        <v>8.2600669566033069E-3</v>
      </c>
      <c r="R90">
        <f t="shared" si="18"/>
        <v>-1.2082158679017296E-2</v>
      </c>
      <c r="W90">
        <f t="shared" si="19"/>
        <v>6.3427629075225589E-3</v>
      </c>
      <c r="X90">
        <f t="shared" si="20"/>
        <v>6.1840327487924004E-3</v>
      </c>
      <c r="AA90">
        <f t="shared" si="21"/>
        <v>0</v>
      </c>
    </row>
    <row r="91" spans="1:27">
      <c r="A91" s="2">
        <v>46027.208333333328</v>
      </c>
      <c r="B91" s="1">
        <v>267.26</v>
      </c>
      <c r="C91" s="1">
        <v>317.32</v>
      </c>
      <c r="D91" s="1">
        <v>472.85</v>
      </c>
      <c r="E91" s="1">
        <v>451.67</v>
      </c>
      <c r="F91" s="1">
        <v>233.06</v>
      </c>
      <c r="G91" s="1">
        <v>188.12</v>
      </c>
      <c r="H91" s="1">
        <v>322.25</v>
      </c>
      <c r="I91" s="1">
        <v>343.42</v>
      </c>
      <c r="K91">
        <f t="shared" si="11"/>
        <v>-1.8334206390780428E-2</v>
      </c>
      <c r="L91">
        <f t="shared" si="12"/>
        <v>-8.7293583764023186E-3</v>
      </c>
      <c r="M91">
        <f t="shared" si="13"/>
        <v>1.1969969334884034E-2</v>
      </c>
      <c r="N91">
        <f t="shared" si="14"/>
        <v>-4.1424048531007229E-2</v>
      </c>
      <c r="O91">
        <f t="shared" si="15"/>
        <v>3.3768128378958151E-2</v>
      </c>
      <c r="P91">
        <f t="shared" si="16"/>
        <v>-4.6778651924302972E-3</v>
      </c>
      <c r="Q91">
        <f t="shared" si="17"/>
        <v>1.6074476338246768E-2</v>
      </c>
      <c r="R91">
        <f t="shared" si="18"/>
        <v>1.0191602119851151E-3</v>
      </c>
      <c r="W91">
        <f t="shared" si="19"/>
        <v>-8.7293583764023186E-3</v>
      </c>
      <c r="X91">
        <f t="shared" si="20"/>
        <v>-8.8880885351324771E-3</v>
      </c>
      <c r="AA91">
        <f t="shared" si="21"/>
        <v>-8.8880885351324771E-3</v>
      </c>
    </row>
    <row r="92" spans="1:27">
      <c r="A92" s="2">
        <v>46028.208333333328</v>
      </c>
      <c r="B92" s="1">
        <v>262.36</v>
      </c>
      <c r="C92" s="1">
        <v>314.55</v>
      </c>
      <c r="D92" s="1">
        <v>478.51</v>
      </c>
      <c r="E92" s="1">
        <v>432.96</v>
      </c>
      <c r="F92" s="1">
        <v>240.93</v>
      </c>
      <c r="G92" s="1">
        <v>187.24</v>
      </c>
      <c r="H92" s="1">
        <v>327.43</v>
      </c>
      <c r="I92" s="1">
        <v>343.77</v>
      </c>
      <c r="K92">
        <f t="shared" si="11"/>
        <v>-7.737459978655381E-3</v>
      </c>
      <c r="L92">
        <f t="shared" si="12"/>
        <v>2.5051661103163259E-2</v>
      </c>
      <c r="M92">
        <f t="shared" si="13"/>
        <v>1.0365509602725309E-2</v>
      </c>
      <c r="N92">
        <f t="shared" si="14"/>
        <v>-3.5800073909828534E-3</v>
      </c>
      <c r="O92">
        <f t="shared" si="15"/>
        <v>2.6148673888681806E-3</v>
      </c>
      <c r="P92">
        <f t="shared" si="16"/>
        <v>9.9871822260200194E-3</v>
      </c>
      <c r="Q92">
        <f t="shared" si="17"/>
        <v>-2.6723269095684565E-2</v>
      </c>
      <c r="R92">
        <f t="shared" si="18"/>
        <v>-7.8540884893962826E-4</v>
      </c>
      <c r="W92">
        <f t="shared" si="19"/>
        <v>2.5051661103163259E-2</v>
      </c>
      <c r="X92">
        <f t="shared" si="20"/>
        <v>2.4892930944433098E-2</v>
      </c>
      <c r="AA92">
        <f t="shared" si="21"/>
        <v>0</v>
      </c>
    </row>
    <row r="93" spans="1:27">
      <c r="A93" s="2">
        <v>46029.208333333328</v>
      </c>
      <c r="B93" s="1">
        <v>260.33</v>
      </c>
      <c r="C93" s="1">
        <v>322.43</v>
      </c>
      <c r="D93" s="1">
        <v>483.47</v>
      </c>
      <c r="E93" s="1">
        <v>431.41</v>
      </c>
      <c r="F93" s="1">
        <v>241.56</v>
      </c>
      <c r="G93" s="1">
        <v>189.11</v>
      </c>
      <c r="H93" s="1">
        <v>318.68</v>
      </c>
      <c r="I93" s="1">
        <v>343.5</v>
      </c>
      <c r="K93">
        <f t="shared" si="11"/>
        <v>-4.9552491069025928E-3</v>
      </c>
      <c r="L93">
        <f t="shared" si="12"/>
        <v>1.1103185187482545E-2</v>
      </c>
      <c r="M93">
        <f t="shared" si="13"/>
        <v>-1.1086520363207675E-2</v>
      </c>
      <c r="N93">
        <f t="shared" si="14"/>
        <v>1.0175934725666913E-2</v>
      </c>
      <c r="O93">
        <f t="shared" si="15"/>
        <v>1.9581056466302371E-2</v>
      </c>
      <c r="P93">
        <f t="shared" si="16"/>
        <v>-2.1521865580878985E-2</v>
      </c>
      <c r="Q93">
        <f t="shared" si="17"/>
        <v>-2.1024224927828072E-3</v>
      </c>
      <c r="R93">
        <f t="shared" si="18"/>
        <v>-3.208151382823865E-2</v>
      </c>
      <c r="W93">
        <f t="shared" si="19"/>
        <v>1.1103185187482545E-2</v>
      </c>
      <c r="X93">
        <f t="shared" si="20"/>
        <v>1.0944455028752386E-2</v>
      </c>
      <c r="AA93">
        <f t="shared" si="21"/>
        <v>0</v>
      </c>
    </row>
    <row r="94" spans="1:27">
      <c r="A94" s="2">
        <v>46030.208333333328</v>
      </c>
      <c r="B94" s="1">
        <v>259.04000000000002</v>
      </c>
      <c r="C94" s="1">
        <v>326.01</v>
      </c>
      <c r="D94" s="1">
        <v>478.11</v>
      </c>
      <c r="E94" s="1">
        <v>435.8</v>
      </c>
      <c r="F94" s="1">
        <v>246.29</v>
      </c>
      <c r="G94" s="1">
        <v>185.04</v>
      </c>
      <c r="H94" s="1">
        <v>318.01</v>
      </c>
      <c r="I94" s="1">
        <v>332.48</v>
      </c>
      <c r="K94">
        <f t="shared" si="11"/>
        <v>1.2739345274861424E-3</v>
      </c>
      <c r="L94">
        <f t="shared" si="12"/>
        <v>9.6009324867334378E-3</v>
      </c>
      <c r="M94">
        <f t="shared" si="13"/>
        <v>2.4471355964108543E-3</v>
      </c>
      <c r="N94">
        <f t="shared" si="14"/>
        <v>2.1133547498852545E-2</v>
      </c>
      <c r="O94">
        <f t="shared" si="15"/>
        <v>4.4256770473831697E-3</v>
      </c>
      <c r="P94">
        <f t="shared" si="16"/>
        <v>-9.7276264591428241E-4</v>
      </c>
      <c r="Q94">
        <f t="shared" si="17"/>
        <v>1.7672400238986308E-2</v>
      </c>
      <c r="R94">
        <f t="shared" si="18"/>
        <v>3.7566169393647764E-2</v>
      </c>
      <c r="W94">
        <f t="shared" si="19"/>
        <v>9.6009324867334378E-3</v>
      </c>
      <c r="X94">
        <f t="shared" si="20"/>
        <v>9.4422023280032793E-3</v>
      </c>
      <c r="AA94">
        <f t="shared" si="21"/>
        <v>0</v>
      </c>
    </row>
    <row r="95" spans="1:27">
      <c r="A95" s="2">
        <v>46031.208333333328</v>
      </c>
      <c r="B95" s="1">
        <v>259.37</v>
      </c>
      <c r="C95" s="1">
        <v>329.14</v>
      </c>
      <c r="D95" s="1">
        <v>479.28</v>
      </c>
      <c r="E95" s="1">
        <v>445.01</v>
      </c>
      <c r="F95" s="1">
        <v>247.38</v>
      </c>
      <c r="G95" s="1">
        <v>184.86</v>
      </c>
      <c r="H95" s="1">
        <v>323.63</v>
      </c>
      <c r="I95" s="1">
        <v>344.97</v>
      </c>
      <c r="K95">
        <f t="shared" si="11"/>
        <v>3.3928364884141526E-3</v>
      </c>
      <c r="L95">
        <f t="shared" si="12"/>
        <v>1.090721273622175E-2</v>
      </c>
      <c r="M95">
        <f t="shared" si="13"/>
        <v>-4.3815723585377553E-3</v>
      </c>
      <c r="N95">
        <f t="shared" si="14"/>
        <v>8.8762050291004702E-3</v>
      </c>
      <c r="O95">
        <f t="shared" si="15"/>
        <v>-3.6785512167515355E-3</v>
      </c>
      <c r="P95">
        <f t="shared" si="16"/>
        <v>4.3275992643065919E-4</v>
      </c>
      <c r="Q95">
        <f t="shared" si="17"/>
        <v>2.5152179958594756E-2</v>
      </c>
      <c r="R95">
        <f t="shared" si="18"/>
        <v>2.0987332231788169E-2</v>
      </c>
      <c r="W95">
        <f t="shared" si="19"/>
        <v>1.090721273622175E-2</v>
      </c>
      <c r="X95">
        <f t="shared" si="20"/>
        <v>1.0748482577491591E-2</v>
      </c>
      <c r="AA95">
        <f t="shared" si="21"/>
        <v>0</v>
      </c>
    </row>
    <row r="96" spans="1:27">
      <c r="A96" s="2">
        <v>46034.208333333328</v>
      </c>
      <c r="B96" s="1">
        <v>260.25</v>
      </c>
      <c r="C96" s="1">
        <v>332.73</v>
      </c>
      <c r="D96" s="1">
        <v>477.18</v>
      </c>
      <c r="E96" s="1">
        <v>448.96</v>
      </c>
      <c r="F96" s="1">
        <v>246.47</v>
      </c>
      <c r="G96" s="1">
        <v>184.94</v>
      </c>
      <c r="H96" s="1">
        <v>331.77</v>
      </c>
      <c r="I96" s="1">
        <v>352.21</v>
      </c>
      <c r="K96">
        <f t="shared" si="11"/>
        <v>3.07396733909715E-3</v>
      </c>
      <c r="L96">
        <f t="shared" si="12"/>
        <v>1.1120127430649385E-2</v>
      </c>
      <c r="M96">
        <f t="shared" si="13"/>
        <v>-1.3642650572111115E-2</v>
      </c>
      <c r="N96">
        <f t="shared" si="14"/>
        <v>-3.920171062009925E-3</v>
      </c>
      <c r="O96">
        <f t="shared" si="15"/>
        <v>-1.5701708118635138E-2</v>
      </c>
      <c r="P96">
        <f t="shared" si="16"/>
        <v>4.7042283983995681E-3</v>
      </c>
      <c r="Q96">
        <f t="shared" si="17"/>
        <v>-1.6879163275763664E-3</v>
      </c>
      <c r="R96">
        <f t="shared" si="18"/>
        <v>6.8141165781778756E-3</v>
      </c>
      <c r="W96">
        <f t="shared" si="19"/>
        <v>1.1120127430649385E-2</v>
      </c>
      <c r="X96">
        <f t="shared" si="20"/>
        <v>1.0961397271919226E-2</v>
      </c>
      <c r="AA96">
        <f t="shared" si="21"/>
        <v>0</v>
      </c>
    </row>
    <row r="97" spans="1:27">
      <c r="A97" s="2">
        <v>46035.208333333328</v>
      </c>
      <c r="B97" s="1">
        <v>261.05</v>
      </c>
      <c r="C97" s="1">
        <v>336.43</v>
      </c>
      <c r="D97" s="1">
        <v>470.67</v>
      </c>
      <c r="E97" s="1">
        <v>447.2</v>
      </c>
      <c r="F97" s="1">
        <v>242.6</v>
      </c>
      <c r="G97" s="1">
        <v>185.81</v>
      </c>
      <c r="H97" s="1">
        <v>331.21</v>
      </c>
      <c r="I97" s="1">
        <v>354.61</v>
      </c>
      <c r="K97">
        <f t="shared" si="11"/>
        <v>-4.1754453169892125E-3</v>
      </c>
      <c r="L97">
        <f t="shared" si="12"/>
        <v>-3.5668638349728443E-4</v>
      </c>
      <c r="M97">
        <f t="shared" si="13"/>
        <v>-2.3987082244460112E-2</v>
      </c>
      <c r="N97">
        <f t="shared" si="14"/>
        <v>-1.7889087656529523E-2</v>
      </c>
      <c r="O97">
        <f t="shared" si="15"/>
        <v>-2.4525968672712284E-2</v>
      </c>
      <c r="P97">
        <f t="shared" si="16"/>
        <v>-1.4369517248802643E-2</v>
      </c>
      <c r="Q97">
        <f t="shared" si="17"/>
        <v>-1.2378853295492154E-2</v>
      </c>
      <c r="R97">
        <f t="shared" si="18"/>
        <v>-4.15103916979217E-2</v>
      </c>
      <c r="W97">
        <f t="shared" si="19"/>
        <v>-3.5668638349728443E-4</v>
      </c>
      <c r="X97">
        <f t="shared" si="20"/>
        <v>-5.1541654222744316E-4</v>
      </c>
      <c r="AA97">
        <f t="shared" si="21"/>
        <v>-5.1541654222744316E-4</v>
      </c>
    </row>
    <row r="98" spans="1:27">
      <c r="A98" s="2">
        <v>46036.208333333328</v>
      </c>
      <c r="B98" s="1">
        <v>259.95999999999998</v>
      </c>
      <c r="C98" s="1">
        <v>336.31</v>
      </c>
      <c r="D98" s="1">
        <v>459.38</v>
      </c>
      <c r="E98" s="1">
        <v>439.2</v>
      </c>
      <c r="F98" s="1">
        <v>236.65</v>
      </c>
      <c r="G98" s="1">
        <v>183.14</v>
      </c>
      <c r="H98" s="1">
        <v>327.11</v>
      </c>
      <c r="I98" s="1">
        <v>339.89</v>
      </c>
      <c r="K98">
        <f t="shared" si="11"/>
        <v>-6.7318048930604668E-3</v>
      </c>
      <c r="L98">
        <f t="shared" si="12"/>
        <v>-9.3663584193154348E-3</v>
      </c>
      <c r="M98">
        <f t="shared" si="13"/>
        <v>-5.9210239888545235E-3</v>
      </c>
      <c r="N98">
        <f t="shared" si="14"/>
        <v>-1.4344262295081789E-3</v>
      </c>
      <c r="O98">
        <f t="shared" si="15"/>
        <v>6.4652440312698012E-3</v>
      </c>
      <c r="P98">
        <f t="shared" si="16"/>
        <v>2.134978704816004E-2</v>
      </c>
      <c r="Q98">
        <f t="shared" si="17"/>
        <v>4.4419308489498821E-2</v>
      </c>
      <c r="R98">
        <f t="shared" si="18"/>
        <v>9.2088616905470211E-3</v>
      </c>
      <c r="W98">
        <f t="shared" si="19"/>
        <v>-9.3663584193154348E-3</v>
      </c>
      <c r="X98">
        <f t="shared" si="20"/>
        <v>-9.5250885780455933E-3</v>
      </c>
      <c r="AA98">
        <f t="shared" si="21"/>
        <v>-9.5250885780455933E-3</v>
      </c>
    </row>
    <row r="99" spans="1:27">
      <c r="A99" s="2">
        <v>46037.208333333328</v>
      </c>
      <c r="B99" s="1">
        <v>258.20999999999998</v>
      </c>
      <c r="C99" s="1">
        <v>333.16</v>
      </c>
      <c r="D99" s="1">
        <v>456.66</v>
      </c>
      <c r="E99" s="1">
        <v>438.57</v>
      </c>
      <c r="F99" s="1">
        <v>238.18</v>
      </c>
      <c r="G99" s="1">
        <v>187.05</v>
      </c>
      <c r="H99" s="1">
        <v>341.64</v>
      </c>
      <c r="I99" s="1">
        <v>343.02</v>
      </c>
      <c r="K99">
        <f t="shared" si="11"/>
        <v>-1.0379148754889322E-2</v>
      </c>
      <c r="L99">
        <f t="shared" si="12"/>
        <v>-8.4644014887743646E-3</v>
      </c>
      <c r="M99">
        <f t="shared" si="13"/>
        <v>7.0074015679060242E-3</v>
      </c>
      <c r="N99">
        <f t="shared" si="14"/>
        <v>-2.4397473607405962E-3</v>
      </c>
      <c r="O99">
        <f t="shared" si="15"/>
        <v>3.9465950121757576E-3</v>
      </c>
      <c r="P99">
        <f t="shared" si="16"/>
        <v>-4.3838545843358778E-3</v>
      </c>
      <c r="Q99">
        <f t="shared" si="17"/>
        <v>2.2245638683995317E-3</v>
      </c>
      <c r="R99">
        <f t="shared" si="18"/>
        <v>2.5333799778438637E-2</v>
      </c>
      <c r="W99">
        <f t="shared" si="19"/>
        <v>-8.4644014887743646E-3</v>
      </c>
      <c r="X99">
        <f t="shared" si="20"/>
        <v>-8.6231316475045231E-3</v>
      </c>
      <c r="AA99">
        <f t="shared" si="21"/>
        <v>-8.6231316475045231E-3</v>
      </c>
    </row>
    <row r="100" spans="1:27">
      <c r="A100" s="2">
        <v>46038.208333333328</v>
      </c>
      <c r="B100" s="1">
        <v>255.53</v>
      </c>
      <c r="C100" s="1">
        <v>330.34</v>
      </c>
      <c r="D100" s="1">
        <v>459.86</v>
      </c>
      <c r="E100" s="1">
        <v>437.5</v>
      </c>
      <c r="F100" s="1">
        <v>239.12</v>
      </c>
      <c r="G100" s="1">
        <v>186.23</v>
      </c>
      <c r="H100" s="1">
        <v>342.4</v>
      </c>
      <c r="I100" s="1">
        <v>351.71</v>
      </c>
      <c r="K100">
        <f t="shared" si="11"/>
        <v>-3.4555629475991112E-2</v>
      </c>
      <c r="L100">
        <f t="shared" si="12"/>
        <v>-2.4762366047102802E-2</v>
      </c>
      <c r="M100">
        <f t="shared" si="13"/>
        <v>-1.1612229809072394E-2</v>
      </c>
      <c r="N100">
        <f t="shared" si="14"/>
        <v>-4.1714285714285704E-2</v>
      </c>
      <c r="O100">
        <f t="shared" si="15"/>
        <v>-3.3957845433255307E-2</v>
      </c>
      <c r="P100">
        <f t="shared" si="16"/>
        <v>-4.3816785695108162E-2</v>
      </c>
      <c r="Q100">
        <f t="shared" si="17"/>
        <v>-4.4509345794392363E-2</v>
      </c>
      <c r="R100">
        <f t="shared" si="18"/>
        <v>-5.4334536976486159E-2</v>
      </c>
      <c r="W100">
        <f t="shared" si="19"/>
        <v>-2.4762366047102802E-2</v>
      </c>
      <c r="X100">
        <f t="shared" si="20"/>
        <v>-2.4921096205832962E-2</v>
      </c>
      <c r="AA100">
        <f t="shared" si="21"/>
        <v>-2.4921096205832962E-2</v>
      </c>
    </row>
    <row r="101" spans="1:27">
      <c r="A101" s="2">
        <v>46042.208333333328</v>
      </c>
      <c r="B101" s="1">
        <v>246.7</v>
      </c>
      <c r="C101" s="1">
        <v>322.16000000000003</v>
      </c>
      <c r="D101" s="1">
        <v>454.52</v>
      </c>
      <c r="E101" s="1">
        <v>419.25</v>
      </c>
      <c r="F101" s="1">
        <v>231</v>
      </c>
      <c r="G101" s="1">
        <v>178.07</v>
      </c>
      <c r="H101" s="1">
        <v>327.16000000000003</v>
      </c>
      <c r="I101" s="1">
        <v>332.6</v>
      </c>
      <c r="K101">
        <f t="shared" si="11"/>
        <v>-1</v>
      </c>
      <c r="L101">
        <f t="shared" si="12"/>
        <v>-1</v>
      </c>
      <c r="M101">
        <f t="shared" si="13"/>
        <v>-1</v>
      </c>
      <c r="N101">
        <f t="shared" si="14"/>
        <v>-1</v>
      </c>
      <c r="O101">
        <f t="shared" si="15"/>
        <v>-1</v>
      </c>
      <c r="P101">
        <f t="shared" si="16"/>
        <v>-1</v>
      </c>
      <c r="Q101">
        <f t="shared" si="17"/>
        <v>-1</v>
      </c>
      <c r="R101">
        <f t="shared" si="18"/>
        <v>-1</v>
      </c>
      <c r="W101">
        <f t="shared" si="19"/>
        <v>-1</v>
      </c>
      <c r="X101">
        <f t="shared" si="20"/>
        <v>-1.0001587301587302</v>
      </c>
      <c r="AA101">
        <f t="shared" si="21"/>
        <v>-1.0001587301587302</v>
      </c>
    </row>
  </sheetData>
  <sortState xmlns:xlrd2="http://schemas.microsoft.com/office/spreadsheetml/2017/richdata2" ref="A2:I101">
    <sortCondition ref="A2:A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Anuar Beissov</cp:lastModifiedBy>
  <cp:revision/>
  <dcterms:created xsi:type="dcterms:W3CDTF">2026-01-23T20:31:53Z</dcterms:created>
  <dcterms:modified xsi:type="dcterms:W3CDTF">2026-01-23T20:31:53Z</dcterms:modified>
  <cp:category/>
  <cp:contentStatus/>
</cp:coreProperties>
</file>